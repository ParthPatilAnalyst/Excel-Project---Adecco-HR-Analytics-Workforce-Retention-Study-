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Project\"/>
    </mc:Choice>
  </mc:AlternateContent>
  <xr:revisionPtr revIDLastSave="0" documentId="13_ncr:1_{6BE0354C-3F60-435D-AEFF-7E11ED86D094}" xr6:coauthVersionLast="47" xr6:coauthVersionMax="47" xr10:uidLastSave="{00000000-0000-0000-0000-000000000000}"/>
  <bookViews>
    <workbookView xWindow="-108" yWindow="-108" windowWidth="23256" windowHeight="12456" activeTab="2" xr2:uid="{D9235832-AD61-45E0-BCA0-DEEA421F9324}"/>
  </bookViews>
  <sheets>
    <sheet name="dataset" sheetId="1" r:id="rId1"/>
    <sheet name="Basic" sheetId="2" r:id="rId2"/>
    <sheet name="Medium" sheetId="3" r:id="rId3"/>
  </sheet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AN4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5" i="2"/>
  <c r="C4" i="2"/>
  <c r="C6" i="2" s="1"/>
  <c r="Q10" i="2"/>
</calcChain>
</file>

<file path=xl/sharedStrings.xml><?xml version="1.0" encoding="utf-8"?>
<sst xmlns="http://schemas.openxmlformats.org/spreadsheetml/2006/main" count="13377" uniqueCount="99">
  <si>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</si>
  <si>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</si>
  <si>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</si>
  <si>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</si>
  <si>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</si>
  <si>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</si>
  <si>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</si>
  <si>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</si>
  <si>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</si>
  <si>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</si>
  <si>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</si>
  <si>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</si>
  <si>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</si>
  <si>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</si>
  <si>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</si>
  <si>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</si>
  <si>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</si>
  <si>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</si>
  <si>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</si>
  <si>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</si>
  <si>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</si>
  <si>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</si>
  <si>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</si>
  <si>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</si>
  <si>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</si>
  <si>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</si>
  <si>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</si>
  <si>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</si>
  <si>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</si>
  <si>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</si>
  <si>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</si>
  <si>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</si>
  <si>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</si>
  <si>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</si>
  <si>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</si>
  <si>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</si>
  <si>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</si>
  <si>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</si>
  <si>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</si>
  <si>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</si>
  <si>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</si>
  <si>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</si>
  <si>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</si>
  <si>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</si>
  <si>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</si>
  <si>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</si>
  <si>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</si>
  <si>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</si>
  <si>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</si>
  <si>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</si>
  <si>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</si>
  <si>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</si>
  <si>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</si>
  <si>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</si>
  <si>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</si>
  <si>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</si>
  <si>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</si>
  <si>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</si>
  <si>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</si>
  <si>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</si>
  <si>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</si>
  <si>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</si>
  <si>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number of employees who left the company</t>
  </si>
  <si>
    <t>total number of employees</t>
  </si>
  <si>
    <t>Attrition Rate</t>
  </si>
  <si>
    <t>Row Labels</t>
  </si>
  <si>
    <t>Grand Total</t>
  </si>
  <si>
    <t>Count of Attrition</t>
  </si>
  <si>
    <t>Column Labels</t>
  </si>
  <si>
    <t>Average of Age</t>
  </si>
  <si>
    <t>Average of JobSatisfaction</t>
  </si>
  <si>
    <t>Count of EmployeeCount</t>
  </si>
  <si>
    <t>Male Attrition rate</t>
  </si>
  <si>
    <t>Average of MonthlyIncome</t>
  </si>
  <si>
    <t>Atrrition_num</t>
  </si>
  <si>
    <t>Count of EmployeeNumber</t>
  </si>
  <si>
    <t>What is the average number of years employees have worked at Adecco India?</t>
  </si>
  <si>
    <t>How many employees work overtime regularly?</t>
  </si>
  <si>
    <t>What is the distribution of performance ratings among employees?</t>
  </si>
  <si>
    <t>How does distance from home impact employee attrition?</t>
  </si>
  <si>
    <t>What is the average monthly income of employees who have left the company?</t>
  </si>
  <si>
    <t>Is there a significant difference in attrition rates between male and female employees?</t>
  </si>
  <si>
    <t>How does job satisfaction vary across different job roles?</t>
  </si>
  <si>
    <t>What is the average age of employees who have left the company?</t>
  </si>
  <si>
    <t>Which department has the highest attrition rate?</t>
  </si>
  <si>
    <t>What is the overall attrition rate at Adecco India?</t>
  </si>
  <si>
    <t>With Age</t>
  </si>
  <si>
    <t>with Monthly Income</t>
  </si>
  <si>
    <t>With Years At Company</t>
  </si>
  <si>
    <t>How do years since last promotion affect employee performance?</t>
  </si>
  <si>
    <t>What is the impact of business travel on job satisfaction?</t>
  </si>
  <si>
    <t>How does employee tenure relate to job satisfaction?</t>
  </si>
  <si>
    <t>What is the effect of stock options on employee attrition?</t>
  </si>
  <si>
    <t>How does work-life balance affect employee performance ratings?</t>
  </si>
  <si>
    <t>What is the impact of training on employee attrition?</t>
  </si>
  <si>
    <t>How does marital status impact employee attrition?</t>
  </si>
  <si>
    <t>Is there a relationship between employee age and job satisfaction?</t>
  </si>
  <si>
    <t>How does the attrition rate vary with different levels of job involvement?</t>
  </si>
  <si>
    <t>What are the top three factors contributing to employee attrition at Adecco India?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</si>
</sst>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0" fillId="0" borderId="7" xfId="0" applyBorder="1"/>
    <xf numFmtId="0" fontId="5" fillId="0" borderId="8" xfId="0" applyFont="1" applyBorder="1"/>
    <xf numFmtId="10" fontId="0" fillId="2" borderId="9" xfId="1" applyNumberFormat="1" applyFont="1" applyFill="1" applyBorder="1"/>
    <xf numFmtId="0" fontId="6" fillId="3" borderId="1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0" fillId="0" borderId="4" xfId="0" pivotButton="1" applyBorder="1"/>
    <xf numFmtId="0" fontId="0" fillId="0" borderId="0" xfId="0" pivotButton="1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left"/>
    </xf>
    <xf numFmtId="10" fontId="0" fillId="0" borderId="0" xfId="0" applyNumberFormat="1" applyBorder="1"/>
    <xf numFmtId="10" fontId="0" fillId="0" borderId="5" xfId="0" applyNumberFormat="1" applyBorder="1"/>
    <xf numFmtId="0" fontId="0" fillId="0" borderId="11" xfId="0" applyBorder="1" applyAlignment="1">
      <alignment horizontal="left"/>
    </xf>
    <xf numFmtId="10" fontId="0" fillId="0" borderId="12" xfId="0" applyNumberFormat="1" applyBorder="1"/>
    <xf numFmtId="10" fontId="0" fillId="0" borderId="13" xfId="0" applyNumberFormat="1" applyBorder="1"/>
    <xf numFmtId="2" fontId="0" fillId="0" borderId="5" xfId="0" applyNumberFormat="1" applyBorder="1"/>
    <xf numFmtId="2" fontId="0" fillId="0" borderId="13" xfId="0" applyNumberFormat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0" fillId="0" borderId="0" xfId="0" applyNumberFormat="1" applyBorder="1"/>
    <xf numFmtId="0" fontId="0" fillId="0" borderId="4" xfId="0" applyBorder="1"/>
    <xf numFmtId="10" fontId="0" fillId="0" borderId="12" xfId="1" applyNumberFormat="1" applyFont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1" fontId="0" fillId="0" borderId="5" xfId="0" applyNumberFormat="1" applyBorder="1"/>
    <xf numFmtId="1" fontId="0" fillId="0" borderId="13" xfId="0" applyNumberFormat="1" applyBorder="1"/>
    <xf numFmtId="173" fontId="0" fillId="0" borderId="11" xfId="0" applyNumberFormat="1" applyBorder="1" applyAlignment="1">
      <alignment horizontal="center"/>
    </xf>
    <xf numFmtId="173" fontId="0" fillId="0" borderId="12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0" fontId="0" fillId="0" borderId="1" xfId="0" pivotButton="1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2" xfId="0" pivotButton="1" applyBorder="1"/>
    <xf numFmtId="0" fontId="0" fillId="0" borderId="1" xfId="0" applyBorder="1" applyAlignment="1">
      <alignment horizontal="left"/>
    </xf>
    <xf numFmtId="10" fontId="0" fillId="0" borderId="2" xfId="0" applyNumberFormat="1" applyBorder="1"/>
    <xf numFmtId="10" fontId="0" fillId="0" borderId="10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11" xfId="0" applyNumberFormat="1" applyBorder="1"/>
    <xf numFmtId="2" fontId="0" fillId="0" borderId="16" xfId="0" applyNumberFormat="1" applyBorder="1"/>
    <xf numFmtId="2" fontId="0" fillId="0" borderId="18" xfId="0" applyNumberFormat="1" applyBorder="1"/>
    <xf numFmtId="2" fontId="0" fillId="0" borderId="17" xfId="0" applyNumberFormat="1" applyBorder="1"/>
    <xf numFmtId="0" fontId="6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295"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numFmt numFmtId="174" formatCode="0.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4" formatCode="0.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173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3" formatCode="0.000"/>
    </dxf>
    <dxf>
      <numFmt numFmtId="172" formatCode="0.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2" formatCode="0.0000"/>
    </dxf>
    <dxf>
      <numFmt numFmtId="171" formatCode="0.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0.00000"/>
    </dxf>
    <dxf>
      <numFmt numFmtId="170" formatCode="0.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0" formatCode="0.000000"/>
    </dxf>
    <dxf>
      <numFmt numFmtId="169" formatCode="0.0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0.0000000"/>
    </dxf>
    <dxf>
      <numFmt numFmtId="175" formatCode="0.00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5" formatCode="0.00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dataset!$G$2:$G$1471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dataset!$C$2:$C$1471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3-46A0-8547-D25E21482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10351"/>
        <c:axId val="1185512751"/>
      </c:scatterChart>
      <c:valAx>
        <c:axId val="118551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12751"/>
        <c:crosses val="autoZero"/>
        <c:crossBetween val="midCat"/>
      </c:valAx>
      <c:valAx>
        <c:axId val="11855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1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dataset!$Z$2:$Z$1471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dataset!$AF$2:$AF$1471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090-ADC6-40DC7763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341807"/>
        <c:axId val="1522343247"/>
      </c:scatterChart>
      <c:valAx>
        <c:axId val="152234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43247"/>
        <c:crosses val="autoZero"/>
        <c:crossBetween val="midCat"/>
      </c:valAx>
      <c:valAx>
        <c:axId val="15223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4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dataset!$R$2:$R$1471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dataset!$AG$2:$AG$1471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C-407F-9141-1F3F651C6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612927"/>
        <c:axId val="996596607"/>
      </c:scatterChart>
      <c:valAx>
        <c:axId val="99661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596607"/>
        <c:crosses val="autoZero"/>
        <c:crossBetween val="midCat"/>
      </c:valAx>
      <c:valAx>
        <c:axId val="99659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1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dataset!$Z$2:$Z$1471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dataset!$AI$2:$AI$1471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7-4974-96BE-916A06E2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352847"/>
        <c:axId val="1522349487"/>
      </c:scatterChart>
      <c:valAx>
        <c:axId val="152235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49487"/>
        <c:crosses val="autoZero"/>
        <c:crossBetween val="midCat"/>
      </c:valAx>
      <c:valAx>
        <c:axId val="15223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5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22860</xdr:colOff>
      <xdr:row>3</xdr:row>
      <xdr:rowOff>68580</xdr:rowOff>
    </xdr:from>
    <xdr:to>
      <xdr:col>29</xdr:col>
      <xdr:colOff>579120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D6497-B0E0-4671-BC98-76C81590F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175260</xdr:colOff>
      <xdr:row>3</xdr:row>
      <xdr:rowOff>76200</xdr:rowOff>
    </xdr:from>
    <xdr:to>
      <xdr:col>16</xdr:col>
      <xdr:colOff>464820</xdr:colOff>
      <xdr:row>18</xdr:row>
      <xdr:rowOff>14897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ADDED-7221-40A8-AC13-63009FB0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449580"/>
          <a:ext cx="3947160" cy="2742857"/>
        </a:xfrm>
        <a:prstGeom prst="rect">
          <a:avLst/>
        </a:prstGeom>
      </xdr:spPr>
    </xdr:pic>
    <xdr:clientData/>
  </xdr:twoCellAnchor>
  <xdr:twoCellAnchor>
    <xdr:from>
      <xdr:col>29</xdr:col>
      <xdr:colOff>45720</xdr:colOff>
      <xdr:row>3</xdr:row>
      <xdr:rowOff>30480</xdr:rowOff>
    </xdr:from>
    <xdr:to>
      <xdr:col>35</xdr:col>
      <xdr:colOff>563880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21B4E-0850-49F8-97FB-C94C65514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91440</xdr:colOff>
      <xdr:row>3</xdr:row>
      <xdr:rowOff>0</xdr:rowOff>
    </xdr:from>
    <xdr:to>
      <xdr:col>49</xdr:col>
      <xdr:colOff>556260</xdr:colOff>
      <xdr:row>17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02292-3846-4D8E-955E-0FBE0105B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83820</xdr:colOff>
      <xdr:row>3</xdr:row>
      <xdr:rowOff>83820</xdr:rowOff>
    </xdr:from>
    <xdr:to>
      <xdr:col>61</xdr:col>
      <xdr:colOff>548640</xdr:colOff>
      <xdr:row>18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38EF7D-B11A-47E7-A5D1-133B71021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" refreshedDate="46075.411472106483" createdVersion="8" refreshedVersion="8" minRefreshableVersion="3" recordCount="1470" xr:uid="{9E9697CF-0C02-45BB-9141-888D5B2931A7}">
  <cacheSource type="worksheet">
    <worksheetSource name="HR_analytics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x v="0"/>
    <n v="11"/>
    <x v="0"/>
    <n v="1"/>
    <n v="80"/>
    <x v="0"/>
    <n v="8"/>
    <x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x v="1"/>
    <n v="23"/>
    <x v="1"/>
    <n v="4"/>
    <n v="80"/>
    <x v="1"/>
    <n v="10"/>
    <x v="1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x v="0"/>
    <n v="15"/>
    <x v="0"/>
    <n v="2"/>
    <n v="80"/>
    <x v="0"/>
    <n v="7"/>
    <x v="1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x v="0"/>
    <n v="11"/>
    <x v="0"/>
    <n v="3"/>
    <n v="80"/>
    <x v="0"/>
    <n v="8"/>
    <x v="1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x v="1"/>
    <n v="12"/>
    <x v="0"/>
    <n v="4"/>
    <n v="80"/>
    <x v="1"/>
    <n v="6"/>
    <x v="1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x v="1"/>
    <n v="13"/>
    <x v="0"/>
    <n v="3"/>
    <n v="80"/>
    <x v="0"/>
    <n v="8"/>
    <x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x v="0"/>
    <n v="20"/>
    <x v="1"/>
    <n v="1"/>
    <n v="80"/>
    <x v="2"/>
    <n v="12"/>
    <x v="1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x v="1"/>
    <n v="22"/>
    <x v="1"/>
    <n v="2"/>
    <n v="80"/>
    <x v="1"/>
    <n v="1"/>
    <x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x v="1"/>
    <n v="21"/>
    <x v="1"/>
    <n v="2"/>
    <n v="80"/>
    <x v="0"/>
    <n v="10"/>
    <x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x v="1"/>
    <n v="13"/>
    <x v="0"/>
    <n v="2"/>
    <n v="80"/>
    <x v="3"/>
    <n v="17"/>
    <x v="1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x v="1"/>
    <n v="13"/>
    <x v="0"/>
    <n v="3"/>
    <n v="80"/>
    <x v="1"/>
    <n v="6"/>
    <x v="3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x v="0"/>
    <n v="12"/>
    <x v="0"/>
    <n v="4"/>
    <n v="80"/>
    <x v="0"/>
    <n v="10"/>
    <x v="1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x v="1"/>
    <n v="17"/>
    <x v="0"/>
    <n v="4"/>
    <n v="80"/>
    <x v="1"/>
    <n v="5"/>
    <x v="4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x v="1"/>
    <n v="11"/>
    <x v="0"/>
    <n v="3"/>
    <n v="80"/>
    <x v="1"/>
    <n v="3"/>
    <x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x v="0"/>
    <n v="14"/>
    <x v="0"/>
    <n v="2"/>
    <n v="80"/>
    <x v="0"/>
    <n v="6"/>
    <x v="5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x v="1"/>
    <n v="11"/>
    <x v="0"/>
    <n v="3"/>
    <n v="80"/>
    <x v="1"/>
    <n v="10"/>
    <x v="4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x v="0"/>
    <n v="12"/>
    <x v="0"/>
    <n v="4"/>
    <n v="80"/>
    <x v="3"/>
    <n v="7"/>
    <x v="3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x v="0"/>
    <n v="13"/>
    <x v="0"/>
    <n v="2"/>
    <n v="80"/>
    <x v="3"/>
    <n v="1"/>
    <x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x v="1"/>
    <n v="16"/>
    <x v="0"/>
    <n v="3"/>
    <n v="80"/>
    <x v="0"/>
    <n v="31"/>
    <x v="1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x v="0"/>
    <n v="11"/>
    <x v="0"/>
    <n v="3"/>
    <n v="80"/>
    <x v="0"/>
    <n v="6"/>
    <x v="1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x v="1"/>
    <n v="18"/>
    <x v="0"/>
    <n v="4"/>
    <n v="80"/>
    <x v="1"/>
    <n v="5"/>
    <x v="3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x v="1"/>
    <n v="23"/>
    <x v="1"/>
    <n v="2"/>
    <n v="80"/>
    <x v="0"/>
    <n v="10"/>
    <x v="5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x v="1"/>
    <n v="11"/>
    <x v="0"/>
    <n v="3"/>
    <n v="80"/>
    <x v="0"/>
    <n v="13"/>
    <x v="5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x v="1"/>
    <n v="14"/>
    <x v="0"/>
    <n v="4"/>
    <n v="80"/>
    <x v="0"/>
    <n v="0"/>
    <x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x v="1"/>
    <n v="11"/>
    <x v="0"/>
    <n v="3"/>
    <n v="80"/>
    <x v="0"/>
    <n v="8"/>
    <x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x v="1"/>
    <n v="11"/>
    <x v="0"/>
    <n v="4"/>
    <n v="80"/>
    <x v="1"/>
    <n v="26"/>
    <x v="1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x v="0"/>
    <n v="22"/>
    <x v="1"/>
    <n v="2"/>
    <n v="80"/>
    <x v="0"/>
    <n v="10"/>
    <x v="3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x v="1"/>
    <n v="11"/>
    <x v="0"/>
    <n v="4"/>
    <n v="80"/>
    <x v="1"/>
    <n v="10"/>
    <x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x v="1"/>
    <n v="14"/>
    <x v="0"/>
    <n v="4"/>
    <n v="80"/>
    <x v="1"/>
    <n v="24"/>
    <x v="5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x v="1"/>
    <n v="12"/>
    <x v="0"/>
    <n v="4"/>
    <n v="80"/>
    <x v="0"/>
    <n v="22"/>
    <x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x v="1"/>
    <n v="11"/>
    <x v="0"/>
    <n v="4"/>
    <n v="80"/>
    <x v="0"/>
    <n v="7"/>
    <x v="1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x v="0"/>
    <n v="13"/>
    <x v="0"/>
    <n v="4"/>
    <n v="80"/>
    <x v="0"/>
    <n v="9"/>
    <x v="3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x v="1"/>
    <n v="13"/>
    <x v="0"/>
    <n v="1"/>
    <n v="80"/>
    <x v="0"/>
    <n v="10"/>
    <x v="3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x v="1"/>
    <n v="14"/>
    <x v="0"/>
    <n v="3"/>
    <n v="80"/>
    <x v="1"/>
    <n v="19"/>
    <x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x v="0"/>
    <n v="16"/>
    <x v="0"/>
    <n v="1"/>
    <n v="80"/>
    <x v="1"/>
    <n v="6"/>
    <x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x v="1"/>
    <n v="12"/>
    <x v="0"/>
    <n v="4"/>
    <n v="80"/>
    <x v="3"/>
    <n v="6"/>
    <x v="1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x v="0"/>
    <n v="14"/>
    <x v="0"/>
    <n v="3"/>
    <n v="80"/>
    <x v="0"/>
    <n v="3"/>
    <x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x v="1"/>
    <n v="13"/>
    <x v="0"/>
    <n v="1"/>
    <n v="80"/>
    <x v="0"/>
    <n v="2"/>
    <x v="1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x v="0"/>
    <n v="14"/>
    <x v="0"/>
    <n v="4"/>
    <n v="80"/>
    <x v="1"/>
    <n v="6"/>
    <x v="1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x v="1"/>
    <n v="19"/>
    <x v="0"/>
    <n v="1"/>
    <n v="80"/>
    <x v="3"/>
    <n v="10"/>
    <x v="1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x v="1"/>
    <n v="12"/>
    <x v="0"/>
    <n v="3"/>
    <n v="80"/>
    <x v="1"/>
    <n v="1"/>
    <x v="1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x v="1"/>
    <n v="13"/>
    <x v="0"/>
    <n v="4"/>
    <n v="80"/>
    <x v="1"/>
    <n v="1"/>
    <x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x v="1"/>
    <n v="12"/>
    <x v="0"/>
    <n v="3"/>
    <n v="80"/>
    <x v="0"/>
    <n v="1"/>
    <x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x v="1"/>
    <n v="15"/>
    <x v="0"/>
    <n v="4"/>
    <n v="80"/>
    <x v="0"/>
    <n v="9"/>
    <x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x v="1"/>
    <n v="23"/>
    <x v="1"/>
    <n v="4"/>
    <n v="80"/>
    <x v="0"/>
    <n v="12"/>
    <x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x v="1"/>
    <n v="12"/>
    <x v="0"/>
    <n v="4"/>
    <n v="80"/>
    <x v="0"/>
    <n v="23"/>
    <x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x v="1"/>
    <n v="20"/>
    <x v="1"/>
    <n v="3"/>
    <n v="80"/>
    <x v="0"/>
    <n v="10"/>
    <x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x v="1"/>
    <n v="21"/>
    <x v="1"/>
    <n v="1"/>
    <n v="80"/>
    <x v="0"/>
    <n v="8"/>
    <x v="4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x v="0"/>
    <n v="21"/>
    <x v="1"/>
    <n v="3"/>
    <n v="80"/>
    <x v="0"/>
    <n v="14"/>
    <x v="5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x v="1"/>
    <n v="19"/>
    <x v="0"/>
    <n v="4"/>
    <n v="80"/>
    <x v="0"/>
    <n v="1"/>
    <x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x v="0"/>
    <n v="13"/>
    <x v="0"/>
    <n v="4"/>
    <n v="80"/>
    <x v="0"/>
    <n v="23"/>
    <x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x v="0"/>
    <n v="13"/>
    <x v="0"/>
    <n v="3"/>
    <n v="80"/>
    <x v="0"/>
    <n v="2"/>
    <x v="1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x v="0"/>
    <n v="21"/>
    <x v="1"/>
    <n v="3"/>
    <n v="80"/>
    <x v="1"/>
    <n v="9"/>
    <x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x v="0"/>
    <n v="13"/>
    <x v="0"/>
    <n v="3"/>
    <n v="80"/>
    <x v="1"/>
    <n v="10"/>
    <x v="1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x v="0"/>
    <n v="19"/>
    <x v="0"/>
    <n v="3"/>
    <n v="80"/>
    <x v="1"/>
    <n v="5"/>
    <x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x v="0"/>
    <n v="12"/>
    <x v="0"/>
    <n v="3"/>
    <n v="80"/>
    <x v="0"/>
    <n v="15"/>
    <x v="4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x v="1"/>
    <n v="22"/>
    <x v="1"/>
    <n v="4"/>
    <n v="80"/>
    <x v="1"/>
    <n v="9"/>
    <x v="1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x v="0"/>
    <n v="15"/>
    <x v="0"/>
    <n v="3"/>
    <n v="80"/>
    <x v="1"/>
    <n v="4"/>
    <x v="1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x v="1"/>
    <n v="22"/>
    <x v="1"/>
    <n v="4"/>
    <n v="80"/>
    <x v="1"/>
    <n v="10"/>
    <x v="1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x v="1"/>
    <n v="18"/>
    <x v="0"/>
    <n v="3"/>
    <n v="80"/>
    <x v="1"/>
    <n v="7"/>
    <x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x v="0"/>
    <n v="22"/>
    <x v="1"/>
    <n v="2"/>
    <n v="80"/>
    <x v="1"/>
    <n v="9"/>
    <x v="1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x v="1"/>
    <n v="11"/>
    <x v="0"/>
    <n v="4"/>
    <n v="80"/>
    <x v="0"/>
    <n v="10"/>
    <x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x v="0"/>
    <n v="12"/>
    <x v="0"/>
    <n v="4"/>
    <n v="80"/>
    <x v="1"/>
    <n v="29"/>
    <x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x v="1"/>
    <n v="11"/>
    <x v="0"/>
    <n v="4"/>
    <n v="80"/>
    <x v="0"/>
    <n v="28"/>
    <x v="1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x v="1"/>
    <n v="13"/>
    <x v="0"/>
    <n v="2"/>
    <n v="80"/>
    <x v="2"/>
    <n v="17"/>
    <x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x v="0"/>
    <n v="14"/>
    <x v="0"/>
    <n v="3"/>
    <n v="80"/>
    <x v="2"/>
    <n v="21"/>
    <x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x v="1"/>
    <n v="13"/>
    <x v="0"/>
    <n v="3"/>
    <n v="80"/>
    <x v="0"/>
    <n v="6"/>
    <x v="1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x v="1"/>
    <n v="17"/>
    <x v="0"/>
    <n v="3"/>
    <n v="80"/>
    <x v="1"/>
    <n v="25"/>
    <x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x v="1"/>
    <n v="13"/>
    <x v="0"/>
    <n v="4"/>
    <n v="80"/>
    <x v="1"/>
    <n v="5"/>
    <x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x v="0"/>
    <n v="17"/>
    <x v="0"/>
    <n v="1"/>
    <n v="80"/>
    <x v="1"/>
    <n v="2"/>
    <x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x v="1"/>
    <n v="11"/>
    <x v="0"/>
    <n v="4"/>
    <n v="80"/>
    <x v="0"/>
    <n v="20"/>
    <x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x v="1"/>
    <n v="23"/>
    <x v="1"/>
    <n v="4"/>
    <n v="80"/>
    <x v="1"/>
    <n v="6"/>
    <x v="1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x v="1"/>
    <n v="17"/>
    <x v="0"/>
    <n v="2"/>
    <n v="80"/>
    <x v="0"/>
    <n v="1"/>
    <x v="5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x v="1"/>
    <n v="17"/>
    <x v="0"/>
    <n v="2"/>
    <n v="80"/>
    <x v="3"/>
    <n v="10"/>
    <x v="1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x v="1"/>
    <n v="12"/>
    <x v="0"/>
    <n v="2"/>
    <n v="80"/>
    <x v="0"/>
    <n v="5"/>
    <x v="1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x v="1"/>
    <n v="23"/>
    <x v="1"/>
    <n v="4"/>
    <n v="80"/>
    <x v="0"/>
    <n v="11"/>
    <x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x v="1"/>
    <n v="14"/>
    <x v="0"/>
    <n v="2"/>
    <n v="80"/>
    <x v="0"/>
    <n v="16"/>
    <x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x v="0"/>
    <n v="14"/>
    <x v="0"/>
    <n v="2"/>
    <n v="80"/>
    <x v="0"/>
    <n v="17"/>
    <x v="1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x v="1"/>
    <n v="13"/>
    <x v="0"/>
    <n v="1"/>
    <n v="80"/>
    <x v="0"/>
    <n v="16"/>
    <x v="1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x v="0"/>
    <n v="22"/>
    <x v="1"/>
    <n v="4"/>
    <n v="80"/>
    <x v="1"/>
    <n v="16"/>
    <x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x v="0"/>
    <n v="12"/>
    <x v="0"/>
    <n v="3"/>
    <n v="80"/>
    <x v="3"/>
    <n v="10"/>
    <x v="4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x v="1"/>
    <n v="18"/>
    <x v="0"/>
    <n v="1"/>
    <n v="80"/>
    <x v="0"/>
    <n v="6"/>
    <x v="1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x v="1"/>
    <n v="14"/>
    <x v="0"/>
    <n v="4"/>
    <n v="80"/>
    <x v="1"/>
    <n v="24"/>
    <x v="5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x v="0"/>
    <n v="12"/>
    <x v="0"/>
    <n v="4"/>
    <n v="80"/>
    <x v="2"/>
    <n v="17"/>
    <x v="1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x v="1"/>
    <n v="15"/>
    <x v="0"/>
    <n v="3"/>
    <n v="80"/>
    <x v="0"/>
    <n v="5"/>
    <x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x v="1"/>
    <n v="11"/>
    <x v="0"/>
    <n v="1"/>
    <n v="80"/>
    <x v="0"/>
    <n v="37"/>
    <x v="1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x v="1"/>
    <n v="13"/>
    <x v="0"/>
    <n v="3"/>
    <n v="80"/>
    <x v="1"/>
    <n v="3"/>
    <x v="1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x v="1"/>
    <n v="23"/>
    <x v="1"/>
    <n v="2"/>
    <n v="80"/>
    <x v="3"/>
    <n v="10"/>
    <x v="5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x v="1"/>
    <n v="19"/>
    <x v="0"/>
    <n v="1"/>
    <n v="80"/>
    <x v="2"/>
    <n v="11"/>
    <x v="1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x v="1"/>
    <n v="16"/>
    <x v="0"/>
    <n v="4"/>
    <n v="80"/>
    <x v="0"/>
    <n v="9"/>
    <x v="1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x v="1"/>
    <n v="22"/>
    <x v="1"/>
    <n v="4"/>
    <n v="80"/>
    <x v="1"/>
    <n v="22"/>
    <x v="1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x v="0"/>
    <n v="22"/>
    <x v="1"/>
    <n v="4"/>
    <n v="80"/>
    <x v="0"/>
    <n v="11"/>
    <x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x v="0"/>
    <n v="12"/>
    <x v="0"/>
    <n v="2"/>
    <n v="80"/>
    <x v="2"/>
    <n v="11"/>
    <x v="5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x v="0"/>
    <n v="13"/>
    <x v="0"/>
    <n v="3"/>
    <n v="80"/>
    <x v="1"/>
    <n v="21"/>
    <x v="3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x v="1"/>
    <n v="16"/>
    <x v="0"/>
    <n v="1"/>
    <n v="80"/>
    <x v="0"/>
    <n v="12"/>
    <x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x v="1"/>
    <n v="12"/>
    <x v="0"/>
    <n v="1"/>
    <n v="80"/>
    <x v="1"/>
    <n v="16"/>
    <x v="3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x v="1"/>
    <n v="21"/>
    <x v="1"/>
    <n v="1"/>
    <n v="80"/>
    <x v="1"/>
    <n v="4"/>
    <x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x v="1"/>
    <n v="15"/>
    <x v="0"/>
    <n v="2"/>
    <n v="80"/>
    <x v="0"/>
    <n v="5"/>
    <x v="1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x v="1"/>
    <n v="13"/>
    <x v="0"/>
    <n v="3"/>
    <n v="80"/>
    <x v="0"/>
    <n v="38"/>
    <x v="4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x v="1"/>
    <n v="12"/>
    <x v="0"/>
    <n v="3"/>
    <n v="80"/>
    <x v="1"/>
    <n v="17"/>
    <x v="1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x v="0"/>
    <n v="22"/>
    <x v="1"/>
    <n v="4"/>
    <n v="80"/>
    <x v="0"/>
    <n v="7"/>
    <x v="1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x v="1"/>
    <n v="13"/>
    <x v="0"/>
    <n v="4"/>
    <n v="80"/>
    <x v="0"/>
    <n v="1"/>
    <x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x v="0"/>
    <n v="18"/>
    <x v="0"/>
    <n v="2"/>
    <n v="80"/>
    <x v="0"/>
    <n v="1"/>
    <x v="3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x v="1"/>
    <n v="14"/>
    <x v="0"/>
    <n v="3"/>
    <n v="80"/>
    <x v="0"/>
    <n v="16"/>
    <x v="1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x v="1"/>
    <n v="14"/>
    <x v="0"/>
    <n v="4"/>
    <n v="80"/>
    <x v="1"/>
    <n v="17"/>
    <x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x v="1"/>
    <n v="21"/>
    <x v="1"/>
    <n v="4"/>
    <n v="80"/>
    <x v="1"/>
    <n v="30"/>
    <x v="1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x v="0"/>
    <n v="19"/>
    <x v="0"/>
    <n v="1"/>
    <n v="80"/>
    <x v="0"/>
    <n v="28"/>
    <x v="4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x v="0"/>
    <n v="11"/>
    <x v="0"/>
    <n v="4"/>
    <n v="80"/>
    <x v="0"/>
    <n v="6"/>
    <x v="4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x v="1"/>
    <n v="11"/>
    <x v="0"/>
    <n v="3"/>
    <n v="80"/>
    <x v="3"/>
    <n v="2"/>
    <x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x v="1"/>
    <n v="15"/>
    <x v="0"/>
    <n v="3"/>
    <n v="80"/>
    <x v="0"/>
    <n v="1"/>
    <x v="3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x v="1"/>
    <n v="20"/>
    <x v="1"/>
    <n v="3"/>
    <n v="80"/>
    <x v="0"/>
    <n v="23"/>
    <x v="4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x v="0"/>
    <n v="24"/>
    <x v="1"/>
    <n v="4"/>
    <n v="80"/>
    <x v="0"/>
    <n v="9"/>
    <x v="1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x v="0"/>
    <n v="12"/>
    <x v="0"/>
    <n v="3"/>
    <n v="80"/>
    <x v="0"/>
    <n v="23"/>
    <x v="1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x v="1"/>
    <n v="12"/>
    <x v="0"/>
    <n v="3"/>
    <n v="80"/>
    <x v="1"/>
    <n v="6"/>
    <x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x v="1"/>
    <n v="15"/>
    <x v="0"/>
    <n v="3"/>
    <n v="80"/>
    <x v="1"/>
    <n v="12"/>
    <x v="1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x v="1"/>
    <n v="12"/>
    <x v="0"/>
    <n v="1"/>
    <n v="80"/>
    <x v="0"/>
    <n v="12"/>
    <x v="1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x v="1"/>
    <n v="12"/>
    <x v="0"/>
    <n v="4"/>
    <n v="80"/>
    <x v="0"/>
    <n v="14"/>
    <x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x v="1"/>
    <n v="14"/>
    <x v="0"/>
    <n v="3"/>
    <n v="80"/>
    <x v="1"/>
    <n v="10"/>
    <x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x v="1"/>
    <n v="22"/>
    <x v="1"/>
    <n v="1"/>
    <n v="80"/>
    <x v="1"/>
    <n v="7"/>
    <x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x v="0"/>
    <n v="12"/>
    <x v="0"/>
    <n v="4"/>
    <n v="80"/>
    <x v="3"/>
    <n v="25"/>
    <x v="1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x v="1"/>
    <n v="25"/>
    <x v="1"/>
    <n v="3"/>
    <n v="80"/>
    <x v="2"/>
    <n v="10"/>
    <x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x v="1"/>
    <n v="13"/>
    <x v="0"/>
    <n v="1"/>
    <n v="80"/>
    <x v="1"/>
    <n v="8"/>
    <x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x v="0"/>
    <n v="18"/>
    <x v="0"/>
    <n v="1"/>
    <n v="80"/>
    <x v="2"/>
    <n v="7"/>
    <x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x v="1"/>
    <n v="13"/>
    <x v="0"/>
    <n v="3"/>
    <n v="80"/>
    <x v="0"/>
    <n v="23"/>
    <x v="3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x v="0"/>
    <n v="18"/>
    <x v="0"/>
    <n v="2"/>
    <n v="80"/>
    <x v="0"/>
    <n v="12"/>
    <x v="1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x v="1"/>
    <n v="19"/>
    <x v="0"/>
    <n v="3"/>
    <n v="80"/>
    <x v="0"/>
    <n v="5"/>
    <x v="1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x v="1"/>
    <n v="12"/>
    <x v="0"/>
    <n v="4"/>
    <n v="80"/>
    <x v="1"/>
    <n v="40"/>
    <x v="1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x v="0"/>
    <n v="19"/>
    <x v="0"/>
    <n v="4"/>
    <n v="80"/>
    <x v="0"/>
    <n v="0"/>
    <x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x v="1"/>
    <n v="14"/>
    <x v="0"/>
    <n v="3"/>
    <n v="80"/>
    <x v="1"/>
    <n v="3"/>
    <x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x v="1"/>
    <n v="14"/>
    <x v="0"/>
    <n v="3"/>
    <n v="80"/>
    <x v="0"/>
    <n v="16"/>
    <x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x v="1"/>
    <n v="12"/>
    <x v="0"/>
    <n v="4"/>
    <n v="80"/>
    <x v="0"/>
    <n v="18"/>
    <x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x v="1"/>
    <n v="11"/>
    <x v="0"/>
    <n v="4"/>
    <n v="80"/>
    <x v="0"/>
    <n v="16"/>
    <x v="1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x v="0"/>
    <n v="11"/>
    <x v="0"/>
    <n v="3"/>
    <n v="80"/>
    <x v="1"/>
    <n v="4"/>
    <x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x v="0"/>
    <n v="13"/>
    <x v="0"/>
    <n v="3"/>
    <n v="80"/>
    <x v="1"/>
    <n v="12"/>
    <x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x v="1"/>
    <n v="23"/>
    <x v="1"/>
    <n v="4"/>
    <n v="80"/>
    <x v="1"/>
    <n v="8"/>
    <x v="1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x v="1"/>
    <n v="20"/>
    <x v="1"/>
    <n v="4"/>
    <n v="80"/>
    <x v="3"/>
    <n v="7"/>
    <x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x v="1"/>
    <n v="15"/>
    <x v="0"/>
    <n v="4"/>
    <n v="80"/>
    <x v="0"/>
    <n v="18"/>
    <x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x v="1"/>
    <n v="14"/>
    <x v="0"/>
    <n v="3"/>
    <n v="80"/>
    <x v="1"/>
    <n v="17"/>
    <x v="4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x v="1"/>
    <n v="18"/>
    <x v="0"/>
    <n v="4"/>
    <n v="80"/>
    <x v="0"/>
    <n v="6"/>
    <x v="1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x v="0"/>
    <n v="19"/>
    <x v="0"/>
    <n v="4"/>
    <n v="80"/>
    <x v="0"/>
    <n v="12"/>
    <x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x v="1"/>
    <n v="22"/>
    <x v="1"/>
    <n v="1"/>
    <n v="80"/>
    <x v="0"/>
    <n v="10"/>
    <x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x v="1"/>
    <n v="13"/>
    <x v="0"/>
    <n v="2"/>
    <n v="80"/>
    <x v="0"/>
    <n v="9"/>
    <x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x v="0"/>
    <n v="20"/>
    <x v="1"/>
    <n v="2"/>
    <n v="80"/>
    <x v="0"/>
    <n v="19"/>
    <x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x v="1"/>
    <n v="14"/>
    <x v="0"/>
    <n v="3"/>
    <n v="80"/>
    <x v="0"/>
    <n v="5"/>
    <x v="5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x v="1"/>
    <n v="17"/>
    <x v="0"/>
    <n v="4"/>
    <n v="80"/>
    <x v="2"/>
    <n v="9"/>
    <x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x v="1"/>
    <n v="14"/>
    <x v="0"/>
    <n v="4"/>
    <n v="80"/>
    <x v="1"/>
    <n v="8"/>
    <x v="1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x v="1"/>
    <n v="13"/>
    <x v="0"/>
    <n v="4"/>
    <n v="80"/>
    <x v="0"/>
    <n v="6"/>
    <x v="1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x v="1"/>
    <n v="13"/>
    <x v="0"/>
    <n v="2"/>
    <n v="80"/>
    <x v="1"/>
    <n v="21"/>
    <x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x v="1"/>
    <n v="21"/>
    <x v="1"/>
    <n v="4"/>
    <n v="80"/>
    <x v="1"/>
    <n v="7"/>
    <x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x v="1"/>
    <n v="14"/>
    <x v="0"/>
    <n v="4"/>
    <n v="80"/>
    <x v="0"/>
    <n v="1"/>
    <x v="1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x v="1"/>
    <n v="11"/>
    <x v="0"/>
    <n v="1"/>
    <n v="80"/>
    <x v="1"/>
    <n v="20"/>
    <x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x v="1"/>
    <n v="13"/>
    <x v="0"/>
    <n v="1"/>
    <n v="80"/>
    <x v="3"/>
    <n v="10"/>
    <x v="1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x v="0"/>
    <n v="20"/>
    <x v="1"/>
    <n v="4"/>
    <n v="80"/>
    <x v="1"/>
    <n v="13"/>
    <x v="1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x v="1"/>
    <n v="18"/>
    <x v="0"/>
    <n v="3"/>
    <n v="80"/>
    <x v="1"/>
    <n v="20"/>
    <x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x v="1"/>
    <n v="14"/>
    <x v="0"/>
    <n v="4"/>
    <n v="80"/>
    <x v="0"/>
    <n v="9"/>
    <x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x v="1"/>
    <n v="13"/>
    <x v="0"/>
    <n v="1"/>
    <n v="80"/>
    <x v="1"/>
    <n v="10"/>
    <x v="4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x v="1"/>
    <n v="17"/>
    <x v="0"/>
    <n v="3"/>
    <n v="80"/>
    <x v="0"/>
    <n v="10"/>
    <x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x v="0"/>
    <n v="20"/>
    <x v="1"/>
    <n v="2"/>
    <n v="80"/>
    <x v="1"/>
    <n v="9"/>
    <x v="1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x v="1"/>
    <n v="11"/>
    <x v="0"/>
    <n v="1"/>
    <n v="80"/>
    <x v="1"/>
    <n v="15"/>
    <x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x v="1"/>
    <n v="18"/>
    <x v="0"/>
    <n v="4"/>
    <n v="80"/>
    <x v="1"/>
    <n v="6"/>
    <x v="1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x v="1"/>
    <n v="24"/>
    <x v="1"/>
    <n v="1"/>
    <n v="80"/>
    <x v="3"/>
    <n v="2"/>
    <x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x v="1"/>
    <n v="18"/>
    <x v="0"/>
    <n v="4"/>
    <n v="80"/>
    <x v="1"/>
    <n v="6"/>
    <x v="4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x v="1"/>
    <n v="11"/>
    <x v="0"/>
    <n v="3"/>
    <n v="80"/>
    <x v="1"/>
    <n v="5"/>
    <x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x v="0"/>
    <n v="16"/>
    <x v="0"/>
    <n v="2"/>
    <n v="80"/>
    <x v="1"/>
    <n v="12"/>
    <x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x v="0"/>
    <n v="15"/>
    <x v="0"/>
    <n v="4"/>
    <n v="80"/>
    <x v="1"/>
    <n v="1"/>
    <x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x v="1"/>
    <n v="15"/>
    <x v="0"/>
    <n v="2"/>
    <n v="80"/>
    <x v="0"/>
    <n v="21"/>
    <x v="3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x v="1"/>
    <n v="12"/>
    <x v="0"/>
    <n v="1"/>
    <n v="80"/>
    <x v="1"/>
    <n v="13"/>
    <x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x v="1"/>
    <n v="12"/>
    <x v="0"/>
    <n v="3"/>
    <n v="80"/>
    <x v="1"/>
    <n v="12"/>
    <x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x v="1"/>
    <n v="22"/>
    <x v="1"/>
    <n v="3"/>
    <n v="80"/>
    <x v="0"/>
    <n v="12"/>
    <x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x v="1"/>
    <n v="20"/>
    <x v="1"/>
    <n v="1"/>
    <n v="80"/>
    <x v="0"/>
    <n v="8"/>
    <x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x v="0"/>
    <n v="16"/>
    <x v="0"/>
    <n v="4"/>
    <n v="80"/>
    <x v="1"/>
    <n v="6"/>
    <x v="1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x v="1"/>
    <n v="21"/>
    <x v="1"/>
    <n v="1"/>
    <n v="80"/>
    <x v="0"/>
    <n v="1"/>
    <x v="3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x v="1"/>
    <n v="12"/>
    <x v="0"/>
    <n v="3"/>
    <n v="80"/>
    <x v="0"/>
    <n v="13"/>
    <x v="1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x v="1"/>
    <n v="11"/>
    <x v="0"/>
    <n v="3"/>
    <n v="80"/>
    <x v="3"/>
    <n v="12"/>
    <x v="5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x v="0"/>
    <n v="11"/>
    <x v="0"/>
    <n v="1"/>
    <n v="80"/>
    <x v="1"/>
    <n v="9"/>
    <x v="1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x v="0"/>
    <n v="18"/>
    <x v="0"/>
    <n v="3"/>
    <n v="80"/>
    <x v="1"/>
    <n v="19"/>
    <x v="1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x v="1"/>
    <n v="14"/>
    <x v="0"/>
    <n v="1"/>
    <n v="80"/>
    <x v="0"/>
    <n v="4"/>
    <x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x v="1"/>
    <n v="22"/>
    <x v="1"/>
    <n v="3"/>
    <n v="80"/>
    <x v="0"/>
    <n v="1"/>
    <x v="1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x v="1"/>
    <n v="25"/>
    <x v="1"/>
    <n v="3"/>
    <n v="80"/>
    <x v="2"/>
    <n v="24"/>
    <x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x v="1"/>
    <n v="12"/>
    <x v="0"/>
    <n v="3"/>
    <n v="80"/>
    <x v="0"/>
    <n v="2"/>
    <x v="1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x v="0"/>
    <n v="23"/>
    <x v="1"/>
    <n v="3"/>
    <n v="80"/>
    <x v="1"/>
    <n v="7"/>
    <x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x v="1"/>
    <n v="15"/>
    <x v="0"/>
    <n v="4"/>
    <n v="80"/>
    <x v="0"/>
    <n v="9"/>
    <x v="1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x v="0"/>
    <n v="22"/>
    <x v="1"/>
    <n v="4"/>
    <n v="80"/>
    <x v="0"/>
    <n v="4"/>
    <x v="3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x v="1"/>
    <n v="15"/>
    <x v="0"/>
    <n v="4"/>
    <n v="80"/>
    <x v="1"/>
    <n v="5"/>
    <x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x v="1"/>
    <n v="11"/>
    <x v="0"/>
    <n v="3"/>
    <n v="80"/>
    <x v="3"/>
    <n v="5"/>
    <x v="1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x v="1"/>
    <n v="13"/>
    <x v="0"/>
    <n v="4"/>
    <n v="80"/>
    <x v="1"/>
    <n v="8"/>
    <x v="3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x v="1"/>
    <n v="14"/>
    <x v="0"/>
    <n v="2"/>
    <n v="80"/>
    <x v="1"/>
    <n v="21"/>
    <x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x v="1"/>
    <n v="11"/>
    <x v="0"/>
    <n v="4"/>
    <n v="80"/>
    <x v="0"/>
    <n v="36"/>
    <x v="1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x v="1"/>
    <n v="17"/>
    <x v="0"/>
    <n v="3"/>
    <n v="80"/>
    <x v="0"/>
    <n v="10"/>
    <x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x v="1"/>
    <n v="18"/>
    <x v="0"/>
    <n v="3"/>
    <n v="80"/>
    <x v="0"/>
    <n v="21"/>
    <x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x v="1"/>
    <n v="14"/>
    <x v="0"/>
    <n v="1"/>
    <n v="80"/>
    <x v="1"/>
    <n v="34"/>
    <x v="3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x v="1"/>
    <n v="16"/>
    <x v="0"/>
    <n v="4"/>
    <n v="80"/>
    <x v="0"/>
    <n v="7"/>
    <x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x v="0"/>
    <n v="13"/>
    <x v="0"/>
    <n v="1"/>
    <n v="80"/>
    <x v="0"/>
    <n v="8"/>
    <x v="4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x v="1"/>
    <n v="14"/>
    <x v="0"/>
    <n v="4"/>
    <n v="80"/>
    <x v="2"/>
    <n v="7"/>
    <x v="1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x v="1"/>
    <n v="23"/>
    <x v="1"/>
    <n v="4"/>
    <n v="80"/>
    <x v="1"/>
    <n v="22"/>
    <x v="4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x v="0"/>
    <n v="12"/>
    <x v="0"/>
    <n v="1"/>
    <n v="80"/>
    <x v="1"/>
    <n v="8"/>
    <x v="1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x v="1"/>
    <n v="11"/>
    <x v="0"/>
    <n v="4"/>
    <n v="80"/>
    <x v="0"/>
    <n v="10"/>
    <x v="3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x v="1"/>
    <n v="16"/>
    <x v="0"/>
    <n v="2"/>
    <n v="80"/>
    <x v="1"/>
    <n v="11"/>
    <x v="3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x v="1"/>
    <n v="14"/>
    <x v="0"/>
    <n v="2"/>
    <n v="80"/>
    <x v="0"/>
    <n v="14"/>
    <x v="1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x v="1"/>
    <n v="18"/>
    <x v="0"/>
    <n v="1"/>
    <n v="80"/>
    <x v="1"/>
    <n v="9"/>
    <x v="1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x v="1"/>
    <n v="19"/>
    <x v="0"/>
    <n v="3"/>
    <n v="80"/>
    <x v="1"/>
    <n v="6"/>
    <x v="4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x v="0"/>
    <n v="15"/>
    <x v="0"/>
    <n v="1"/>
    <n v="80"/>
    <x v="3"/>
    <n v="7"/>
    <x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x v="0"/>
    <n v="17"/>
    <x v="0"/>
    <n v="4"/>
    <n v="80"/>
    <x v="1"/>
    <n v="5"/>
    <x v="5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x v="0"/>
    <n v="15"/>
    <x v="0"/>
    <n v="3"/>
    <n v="80"/>
    <x v="1"/>
    <n v="15"/>
    <x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x v="0"/>
    <n v="19"/>
    <x v="0"/>
    <n v="2"/>
    <n v="80"/>
    <x v="0"/>
    <n v="17"/>
    <x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x v="1"/>
    <n v="22"/>
    <x v="1"/>
    <n v="4"/>
    <n v="80"/>
    <x v="2"/>
    <n v="10"/>
    <x v="1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x v="0"/>
    <n v="16"/>
    <x v="0"/>
    <n v="1"/>
    <n v="80"/>
    <x v="1"/>
    <n v="4"/>
    <x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x v="1"/>
    <n v="13"/>
    <x v="0"/>
    <n v="1"/>
    <n v="80"/>
    <x v="0"/>
    <n v="8"/>
    <x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x v="1"/>
    <n v="14"/>
    <x v="0"/>
    <n v="4"/>
    <n v="80"/>
    <x v="1"/>
    <n v="5"/>
    <x v="3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x v="1"/>
    <n v="16"/>
    <x v="0"/>
    <n v="3"/>
    <n v="80"/>
    <x v="1"/>
    <n v="17"/>
    <x v="1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x v="1"/>
    <n v="11"/>
    <x v="0"/>
    <n v="3"/>
    <n v="80"/>
    <x v="0"/>
    <n v="14"/>
    <x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x v="1"/>
    <n v="22"/>
    <x v="1"/>
    <n v="3"/>
    <n v="80"/>
    <x v="0"/>
    <n v="12"/>
    <x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x v="1"/>
    <n v="14"/>
    <x v="0"/>
    <n v="4"/>
    <n v="80"/>
    <x v="0"/>
    <n v="7"/>
    <x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x v="1"/>
    <n v="16"/>
    <x v="0"/>
    <n v="4"/>
    <n v="80"/>
    <x v="3"/>
    <n v="16"/>
    <x v="3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x v="0"/>
    <n v="11"/>
    <x v="0"/>
    <n v="3"/>
    <n v="80"/>
    <x v="0"/>
    <n v="8"/>
    <x v="3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x v="0"/>
    <n v="18"/>
    <x v="0"/>
    <n v="3"/>
    <n v="80"/>
    <x v="0"/>
    <n v="16"/>
    <x v="1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x v="1"/>
    <n v="15"/>
    <x v="0"/>
    <n v="3"/>
    <n v="80"/>
    <x v="0"/>
    <n v="9"/>
    <x v="3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x v="1"/>
    <n v="14"/>
    <x v="0"/>
    <n v="4"/>
    <n v="80"/>
    <x v="0"/>
    <n v="7"/>
    <x v="4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x v="1"/>
    <n v="12"/>
    <x v="0"/>
    <n v="4"/>
    <n v="80"/>
    <x v="0"/>
    <n v="23"/>
    <x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x v="1"/>
    <n v="14"/>
    <x v="0"/>
    <n v="4"/>
    <n v="80"/>
    <x v="1"/>
    <n v="16"/>
    <x v="5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x v="1"/>
    <n v="16"/>
    <x v="0"/>
    <n v="4"/>
    <n v="80"/>
    <x v="0"/>
    <n v="16"/>
    <x v="1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x v="1"/>
    <n v="21"/>
    <x v="1"/>
    <n v="4"/>
    <n v="80"/>
    <x v="0"/>
    <n v="7"/>
    <x v="1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x v="0"/>
    <n v="14"/>
    <x v="0"/>
    <n v="3"/>
    <n v="80"/>
    <x v="2"/>
    <n v="10"/>
    <x v="4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x v="1"/>
    <n v="12"/>
    <x v="0"/>
    <n v="3"/>
    <n v="80"/>
    <x v="3"/>
    <n v="17"/>
    <x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x v="1"/>
    <n v="12"/>
    <x v="0"/>
    <n v="4"/>
    <n v="80"/>
    <x v="1"/>
    <n v="6"/>
    <x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x v="1"/>
    <n v="17"/>
    <x v="0"/>
    <n v="1"/>
    <n v="80"/>
    <x v="1"/>
    <n v="7"/>
    <x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x v="1"/>
    <n v="17"/>
    <x v="0"/>
    <n v="3"/>
    <n v="80"/>
    <x v="1"/>
    <n v="13"/>
    <x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x v="1"/>
    <n v="14"/>
    <x v="0"/>
    <n v="4"/>
    <n v="80"/>
    <x v="1"/>
    <n v="11"/>
    <x v="3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x v="1"/>
    <n v="14"/>
    <x v="0"/>
    <n v="1"/>
    <n v="80"/>
    <x v="0"/>
    <n v="10"/>
    <x v="1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x v="0"/>
    <n v="13"/>
    <x v="0"/>
    <n v="3"/>
    <n v="80"/>
    <x v="0"/>
    <n v="4"/>
    <x v="1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x v="1"/>
    <n v="15"/>
    <x v="0"/>
    <n v="2"/>
    <n v="80"/>
    <x v="0"/>
    <n v="6"/>
    <x v="1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x v="1"/>
    <n v="11"/>
    <x v="0"/>
    <n v="4"/>
    <n v="80"/>
    <x v="0"/>
    <n v="22"/>
    <x v="1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x v="1"/>
    <n v="17"/>
    <x v="0"/>
    <n v="4"/>
    <n v="80"/>
    <x v="0"/>
    <n v="7"/>
    <x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x v="1"/>
    <n v="11"/>
    <x v="0"/>
    <n v="3"/>
    <n v="80"/>
    <x v="1"/>
    <n v="32"/>
    <x v="1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x v="0"/>
    <n v="13"/>
    <x v="0"/>
    <n v="3"/>
    <n v="80"/>
    <x v="1"/>
    <n v="8"/>
    <x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x v="0"/>
    <n v="22"/>
    <x v="1"/>
    <n v="3"/>
    <n v="80"/>
    <x v="1"/>
    <n v="22"/>
    <x v="1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x v="1"/>
    <n v="20"/>
    <x v="1"/>
    <n v="1"/>
    <n v="80"/>
    <x v="0"/>
    <n v="13"/>
    <x v="1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x v="0"/>
    <n v="18"/>
    <x v="0"/>
    <n v="4"/>
    <n v="80"/>
    <x v="0"/>
    <n v="33"/>
    <x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x v="1"/>
    <n v="11"/>
    <x v="0"/>
    <n v="1"/>
    <n v="80"/>
    <x v="1"/>
    <n v="6"/>
    <x v="3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x v="0"/>
    <n v="14"/>
    <x v="0"/>
    <n v="4"/>
    <n v="80"/>
    <x v="0"/>
    <n v="4"/>
    <x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x v="1"/>
    <n v="14"/>
    <x v="0"/>
    <n v="3"/>
    <n v="80"/>
    <x v="2"/>
    <n v="7"/>
    <x v="4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x v="1"/>
    <n v="18"/>
    <x v="0"/>
    <n v="1"/>
    <n v="80"/>
    <x v="0"/>
    <n v="4"/>
    <x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x v="1"/>
    <n v="16"/>
    <x v="0"/>
    <n v="1"/>
    <n v="80"/>
    <x v="3"/>
    <n v="17"/>
    <x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x v="1"/>
    <n v="17"/>
    <x v="0"/>
    <n v="1"/>
    <n v="80"/>
    <x v="3"/>
    <n v="9"/>
    <x v="1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x v="1"/>
    <n v="11"/>
    <x v="0"/>
    <n v="3"/>
    <n v="80"/>
    <x v="1"/>
    <n v="25"/>
    <x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x v="1"/>
    <n v="12"/>
    <x v="0"/>
    <n v="1"/>
    <n v="80"/>
    <x v="1"/>
    <n v="9"/>
    <x v="1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x v="1"/>
    <n v="13"/>
    <x v="0"/>
    <n v="3"/>
    <n v="80"/>
    <x v="1"/>
    <n v="2"/>
    <x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x v="1"/>
    <n v="13"/>
    <x v="0"/>
    <n v="2"/>
    <n v="80"/>
    <x v="1"/>
    <n v="13"/>
    <x v="1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x v="1"/>
    <n v="14"/>
    <x v="0"/>
    <n v="1"/>
    <n v="80"/>
    <x v="1"/>
    <n v="17"/>
    <x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x v="1"/>
    <n v="17"/>
    <x v="0"/>
    <n v="4"/>
    <n v="80"/>
    <x v="1"/>
    <n v="9"/>
    <x v="4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x v="1"/>
    <n v="11"/>
    <x v="0"/>
    <n v="2"/>
    <n v="80"/>
    <x v="3"/>
    <n v="17"/>
    <x v="3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x v="1"/>
    <n v="25"/>
    <x v="1"/>
    <n v="4"/>
    <n v="80"/>
    <x v="0"/>
    <n v="20"/>
    <x v="4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x v="1"/>
    <n v="19"/>
    <x v="0"/>
    <n v="1"/>
    <n v="80"/>
    <x v="0"/>
    <n v="6"/>
    <x v="4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x v="0"/>
    <n v="13"/>
    <x v="0"/>
    <n v="3"/>
    <n v="80"/>
    <x v="0"/>
    <n v="10"/>
    <x v="4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x v="1"/>
    <n v="14"/>
    <x v="0"/>
    <n v="4"/>
    <n v="80"/>
    <x v="1"/>
    <n v="10"/>
    <x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x v="1"/>
    <n v="12"/>
    <x v="0"/>
    <n v="4"/>
    <n v="80"/>
    <x v="3"/>
    <n v="5"/>
    <x v="1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x v="0"/>
    <n v="11"/>
    <x v="0"/>
    <n v="3"/>
    <n v="80"/>
    <x v="1"/>
    <n v="10"/>
    <x v="5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x v="1"/>
    <n v="19"/>
    <x v="0"/>
    <n v="4"/>
    <n v="80"/>
    <x v="1"/>
    <n v="22"/>
    <x v="3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x v="1"/>
    <n v="11"/>
    <x v="0"/>
    <n v="2"/>
    <n v="80"/>
    <x v="0"/>
    <n v="1"/>
    <x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x v="1"/>
    <n v="11"/>
    <x v="0"/>
    <n v="2"/>
    <n v="80"/>
    <x v="0"/>
    <n v="6"/>
    <x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x v="1"/>
    <n v="20"/>
    <x v="1"/>
    <n v="3"/>
    <n v="80"/>
    <x v="0"/>
    <n v="5"/>
    <x v="1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x v="1"/>
    <n v="18"/>
    <x v="0"/>
    <n v="4"/>
    <n v="80"/>
    <x v="1"/>
    <n v="13"/>
    <x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x v="1"/>
    <n v="13"/>
    <x v="0"/>
    <n v="4"/>
    <n v="80"/>
    <x v="0"/>
    <n v="9"/>
    <x v="3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x v="0"/>
    <n v="12"/>
    <x v="0"/>
    <n v="2"/>
    <n v="80"/>
    <x v="1"/>
    <n v="28"/>
    <x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x v="1"/>
    <n v="11"/>
    <x v="0"/>
    <n v="3"/>
    <n v="80"/>
    <x v="0"/>
    <n v="5"/>
    <x v="3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x v="1"/>
    <n v="19"/>
    <x v="0"/>
    <n v="2"/>
    <n v="80"/>
    <x v="3"/>
    <n v="10"/>
    <x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x v="1"/>
    <n v="21"/>
    <x v="1"/>
    <n v="2"/>
    <n v="80"/>
    <x v="1"/>
    <n v="10"/>
    <x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x v="1"/>
    <n v="12"/>
    <x v="0"/>
    <n v="4"/>
    <n v="80"/>
    <x v="3"/>
    <n v="6"/>
    <x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x v="0"/>
    <n v="14"/>
    <x v="0"/>
    <n v="2"/>
    <n v="80"/>
    <x v="0"/>
    <n v="21"/>
    <x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x v="1"/>
    <n v="11"/>
    <x v="0"/>
    <n v="3"/>
    <n v="80"/>
    <x v="1"/>
    <n v="16"/>
    <x v="5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x v="0"/>
    <n v="14"/>
    <x v="0"/>
    <n v="3"/>
    <n v="80"/>
    <x v="0"/>
    <n v="37"/>
    <x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x v="0"/>
    <n v="12"/>
    <x v="0"/>
    <n v="4"/>
    <n v="80"/>
    <x v="1"/>
    <n v="10"/>
    <x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x v="1"/>
    <n v="23"/>
    <x v="1"/>
    <n v="4"/>
    <n v="80"/>
    <x v="1"/>
    <n v="5"/>
    <x v="1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x v="1"/>
    <n v="14"/>
    <x v="0"/>
    <n v="2"/>
    <n v="80"/>
    <x v="1"/>
    <n v="7"/>
    <x v="3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x v="1"/>
    <n v="17"/>
    <x v="0"/>
    <n v="1"/>
    <n v="80"/>
    <x v="0"/>
    <n v="3"/>
    <x v="5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x v="0"/>
    <n v="18"/>
    <x v="0"/>
    <n v="1"/>
    <n v="80"/>
    <x v="3"/>
    <n v="15"/>
    <x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x v="1"/>
    <n v="18"/>
    <x v="0"/>
    <n v="2"/>
    <n v="80"/>
    <x v="1"/>
    <n v="10"/>
    <x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x v="0"/>
    <n v="24"/>
    <x v="1"/>
    <n v="3"/>
    <n v="80"/>
    <x v="1"/>
    <n v="8"/>
    <x v="1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x v="1"/>
    <n v="20"/>
    <x v="1"/>
    <n v="1"/>
    <n v="80"/>
    <x v="1"/>
    <n v="6"/>
    <x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x v="1"/>
    <n v="14"/>
    <x v="0"/>
    <n v="1"/>
    <n v="80"/>
    <x v="3"/>
    <n v="28"/>
    <x v="5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x v="0"/>
    <n v="16"/>
    <x v="0"/>
    <n v="4"/>
    <n v="80"/>
    <x v="2"/>
    <n v="21"/>
    <x v="3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x v="1"/>
    <n v="25"/>
    <x v="1"/>
    <n v="3"/>
    <n v="80"/>
    <x v="0"/>
    <n v="20"/>
    <x v="1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x v="1"/>
    <n v="18"/>
    <x v="0"/>
    <n v="1"/>
    <n v="80"/>
    <x v="0"/>
    <n v="10"/>
    <x v="1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x v="0"/>
    <n v="19"/>
    <x v="0"/>
    <n v="4"/>
    <n v="80"/>
    <x v="1"/>
    <n v="12"/>
    <x v="5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x v="0"/>
    <n v="13"/>
    <x v="0"/>
    <n v="3"/>
    <n v="80"/>
    <x v="1"/>
    <n v="5"/>
    <x v="1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x v="1"/>
    <n v="12"/>
    <x v="0"/>
    <n v="2"/>
    <n v="80"/>
    <x v="0"/>
    <n v="17"/>
    <x v="1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x v="0"/>
    <n v="22"/>
    <x v="1"/>
    <n v="4"/>
    <n v="80"/>
    <x v="1"/>
    <n v="19"/>
    <x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x v="1"/>
    <n v="14"/>
    <x v="0"/>
    <n v="2"/>
    <n v="80"/>
    <x v="1"/>
    <n v="10"/>
    <x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x v="0"/>
    <n v="13"/>
    <x v="0"/>
    <n v="4"/>
    <n v="80"/>
    <x v="1"/>
    <n v="5"/>
    <x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x v="1"/>
    <n v="21"/>
    <x v="1"/>
    <n v="4"/>
    <n v="80"/>
    <x v="0"/>
    <n v="5"/>
    <x v="1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x v="0"/>
    <n v="11"/>
    <x v="0"/>
    <n v="4"/>
    <n v="80"/>
    <x v="0"/>
    <n v="22"/>
    <x v="5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x v="1"/>
    <n v="12"/>
    <x v="0"/>
    <n v="4"/>
    <n v="80"/>
    <x v="0"/>
    <n v="10"/>
    <x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x v="1"/>
    <n v="11"/>
    <x v="0"/>
    <n v="3"/>
    <n v="80"/>
    <x v="1"/>
    <n v="2"/>
    <x v="3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x v="0"/>
    <n v="12"/>
    <x v="0"/>
    <n v="2"/>
    <n v="80"/>
    <x v="0"/>
    <n v="8"/>
    <x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x v="0"/>
    <n v="12"/>
    <x v="0"/>
    <n v="3"/>
    <n v="80"/>
    <x v="2"/>
    <n v="4"/>
    <x v="1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x v="1"/>
    <n v="14"/>
    <x v="0"/>
    <n v="4"/>
    <n v="80"/>
    <x v="1"/>
    <n v="23"/>
    <x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x v="1"/>
    <n v="13"/>
    <x v="0"/>
    <n v="3"/>
    <n v="80"/>
    <x v="0"/>
    <n v="0"/>
    <x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x v="1"/>
    <n v="15"/>
    <x v="0"/>
    <n v="3"/>
    <n v="80"/>
    <x v="3"/>
    <n v="12"/>
    <x v="1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x v="1"/>
    <n v="18"/>
    <x v="0"/>
    <n v="4"/>
    <n v="80"/>
    <x v="3"/>
    <n v="4"/>
    <x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x v="1"/>
    <n v="18"/>
    <x v="0"/>
    <n v="4"/>
    <n v="80"/>
    <x v="1"/>
    <n v="13"/>
    <x v="1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x v="1"/>
    <n v="19"/>
    <x v="0"/>
    <n v="2"/>
    <n v="80"/>
    <x v="0"/>
    <n v="22"/>
    <x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x v="1"/>
    <n v="12"/>
    <x v="0"/>
    <n v="1"/>
    <n v="80"/>
    <x v="0"/>
    <n v="0"/>
    <x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x v="1"/>
    <n v="19"/>
    <x v="0"/>
    <n v="3"/>
    <n v="80"/>
    <x v="0"/>
    <n v="9"/>
    <x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x v="1"/>
    <n v="11"/>
    <x v="0"/>
    <n v="2"/>
    <n v="80"/>
    <x v="1"/>
    <n v="10"/>
    <x v="1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x v="1"/>
    <n v="17"/>
    <x v="0"/>
    <n v="1"/>
    <n v="80"/>
    <x v="2"/>
    <n v="19"/>
    <x v="3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x v="1"/>
    <n v="15"/>
    <x v="0"/>
    <n v="3"/>
    <n v="80"/>
    <x v="1"/>
    <n v="11"/>
    <x v="1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x v="1"/>
    <n v="14"/>
    <x v="0"/>
    <n v="3"/>
    <n v="80"/>
    <x v="1"/>
    <n v="13"/>
    <x v="1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x v="1"/>
    <n v="17"/>
    <x v="0"/>
    <n v="3"/>
    <n v="80"/>
    <x v="1"/>
    <n v="19"/>
    <x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x v="0"/>
    <n v="13"/>
    <x v="0"/>
    <n v="4"/>
    <n v="80"/>
    <x v="1"/>
    <n v="12"/>
    <x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x v="0"/>
    <n v="12"/>
    <x v="0"/>
    <n v="3"/>
    <n v="80"/>
    <x v="1"/>
    <n v="6"/>
    <x v="5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x v="1"/>
    <n v="12"/>
    <x v="0"/>
    <n v="4"/>
    <n v="80"/>
    <x v="0"/>
    <n v="9"/>
    <x v="4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x v="1"/>
    <n v="18"/>
    <x v="0"/>
    <n v="1"/>
    <n v="80"/>
    <x v="1"/>
    <n v="24"/>
    <x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x v="0"/>
    <n v="18"/>
    <x v="0"/>
    <n v="2"/>
    <n v="80"/>
    <x v="1"/>
    <n v="3"/>
    <x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x v="1"/>
    <n v="11"/>
    <x v="0"/>
    <n v="2"/>
    <n v="80"/>
    <x v="3"/>
    <n v="12"/>
    <x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x v="0"/>
    <n v="14"/>
    <x v="0"/>
    <n v="4"/>
    <n v="80"/>
    <x v="0"/>
    <n v="21"/>
    <x v="1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x v="1"/>
    <n v="19"/>
    <x v="0"/>
    <n v="1"/>
    <n v="80"/>
    <x v="0"/>
    <n v="9"/>
    <x v="3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x v="0"/>
    <n v="12"/>
    <x v="0"/>
    <n v="4"/>
    <n v="80"/>
    <x v="0"/>
    <n v="25"/>
    <x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x v="1"/>
    <n v="15"/>
    <x v="0"/>
    <n v="1"/>
    <n v="80"/>
    <x v="0"/>
    <n v="11"/>
    <x v="1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x v="0"/>
    <n v="12"/>
    <x v="0"/>
    <n v="2"/>
    <n v="80"/>
    <x v="0"/>
    <n v="4"/>
    <x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x v="0"/>
    <n v="11"/>
    <x v="0"/>
    <n v="4"/>
    <n v="80"/>
    <x v="0"/>
    <n v="13"/>
    <x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x v="0"/>
    <n v="11"/>
    <x v="0"/>
    <n v="1"/>
    <n v="80"/>
    <x v="0"/>
    <n v="5"/>
    <x v="1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x v="1"/>
    <n v="12"/>
    <x v="0"/>
    <n v="4"/>
    <n v="80"/>
    <x v="2"/>
    <n v="13"/>
    <x v="1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x v="1"/>
    <n v="16"/>
    <x v="0"/>
    <n v="3"/>
    <n v="80"/>
    <x v="0"/>
    <n v="10"/>
    <x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x v="0"/>
    <n v="13"/>
    <x v="0"/>
    <n v="4"/>
    <n v="80"/>
    <x v="0"/>
    <n v="5"/>
    <x v="5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x v="1"/>
    <n v="13"/>
    <x v="0"/>
    <n v="4"/>
    <n v="80"/>
    <x v="3"/>
    <n v="11"/>
    <x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x v="1"/>
    <n v="24"/>
    <x v="1"/>
    <n v="1"/>
    <n v="80"/>
    <x v="1"/>
    <n v="10"/>
    <x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x v="1"/>
    <n v="15"/>
    <x v="0"/>
    <n v="1"/>
    <n v="80"/>
    <x v="1"/>
    <n v="21"/>
    <x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x v="0"/>
    <n v="18"/>
    <x v="0"/>
    <n v="1"/>
    <n v="80"/>
    <x v="0"/>
    <n v="12"/>
    <x v="1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x v="1"/>
    <n v="14"/>
    <x v="0"/>
    <n v="3"/>
    <n v="80"/>
    <x v="0"/>
    <n v="9"/>
    <x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x v="1"/>
    <n v="11"/>
    <x v="0"/>
    <n v="2"/>
    <n v="80"/>
    <x v="1"/>
    <n v="21"/>
    <x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x v="1"/>
    <n v="11"/>
    <x v="0"/>
    <n v="2"/>
    <n v="80"/>
    <x v="1"/>
    <n v="9"/>
    <x v="1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x v="0"/>
    <n v="13"/>
    <x v="0"/>
    <n v="4"/>
    <n v="80"/>
    <x v="1"/>
    <n v="6"/>
    <x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x v="1"/>
    <n v="12"/>
    <x v="0"/>
    <n v="4"/>
    <n v="80"/>
    <x v="0"/>
    <n v="20"/>
    <x v="5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x v="1"/>
    <n v="16"/>
    <x v="0"/>
    <n v="1"/>
    <n v="80"/>
    <x v="1"/>
    <n v="10"/>
    <x v="4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x v="1"/>
    <n v="14"/>
    <x v="0"/>
    <n v="1"/>
    <n v="80"/>
    <x v="3"/>
    <n v="12"/>
    <x v="1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x v="0"/>
    <n v="22"/>
    <x v="1"/>
    <n v="3"/>
    <n v="80"/>
    <x v="2"/>
    <n v="6"/>
    <x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x v="0"/>
    <n v="11"/>
    <x v="0"/>
    <n v="4"/>
    <n v="80"/>
    <x v="0"/>
    <n v="7"/>
    <x v="5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x v="1"/>
    <n v="17"/>
    <x v="0"/>
    <n v="3"/>
    <n v="80"/>
    <x v="0"/>
    <n v="4"/>
    <x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x v="1"/>
    <n v="13"/>
    <x v="0"/>
    <n v="3"/>
    <n v="80"/>
    <x v="2"/>
    <n v="10"/>
    <x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x v="1"/>
    <n v="18"/>
    <x v="0"/>
    <n v="1"/>
    <n v="80"/>
    <x v="1"/>
    <n v="8"/>
    <x v="1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x v="1"/>
    <n v="16"/>
    <x v="0"/>
    <n v="3"/>
    <n v="80"/>
    <x v="3"/>
    <n v="8"/>
    <x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x v="0"/>
    <n v="14"/>
    <x v="0"/>
    <n v="2"/>
    <n v="80"/>
    <x v="1"/>
    <n v="12"/>
    <x v="1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x v="0"/>
    <n v="14"/>
    <x v="0"/>
    <n v="3"/>
    <n v="80"/>
    <x v="0"/>
    <n v="11"/>
    <x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x v="0"/>
    <n v="14"/>
    <x v="0"/>
    <n v="1"/>
    <n v="80"/>
    <x v="3"/>
    <n v="7"/>
    <x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x v="1"/>
    <n v="13"/>
    <x v="0"/>
    <n v="4"/>
    <n v="80"/>
    <x v="0"/>
    <n v="17"/>
    <x v="3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x v="1"/>
    <n v="12"/>
    <x v="0"/>
    <n v="3"/>
    <n v="80"/>
    <x v="3"/>
    <n v="4"/>
    <x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x v="0"/>
    <n v="15"/>
    <x v="0"/>
    <n v="4"/>
    <n v="80"/>
    <x v="0"/>
    <n v="8"/>
    <x v="1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x v="1"/>
    <n v="19"/>
    <x v="0"/>
    <n v="1"/>
    <n v="80"/>
    <x v="0"/>
    <n v="5"/>
    <x v="1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x v="1"/>
    <n v="14"/>
    <x v="0"/>
    <n v="2"/>
    <n v="80"/>
    <x v="0"/>
    <n v="16"/>
    <x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x v="1"/>
    <n v="14"/>
    <x v="0"/>
    <n v="1"/>
    <n v="80"/>
    <x v="1"/>
    <n v="4"/>
    <x v="1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x v="0"/>
    <n v="11"/>
    <x v="0"/>
    <n v="3"/>
    <n v="80"/>
    <x v="1"/>
    <n v="4"/>
    <x v="3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x v="1"/>
    <n v="13"/>
    <x v="0"/>
    <n v="3"/>
    <n v="80"/>
    <x v="1"/>
    <n v="8"/>
    <x v="5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x v="1"/>
    <n v="21"/>
    <x v="1"/>
    <n v="2"/>
    <n v="80"/>
    <x v="1"/>
    <n v="15"/>
    <x v="1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x v="0"/>
    <n v="13"/>
    <x v="0"/>
    <n v="1"/>
    <n v="80"/>
    <x v="3"/>
    <n v="13"/>
    <x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x v="0"/>
    <n v="12"/>
    <x v="0"/>
    <n v="2"/>
    <n v="80"/>
    <x v="1"/>
    <n v="4"/>
    <x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x v="1"/>
    <n v="17"/>
    <x v="0"/>
    <n v="2"/>
    <n v="80"/>
    <x v="1"/>
    <n v="8"/>
    <x v="1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x v="1"/>
    <n v="23"/>
    <x v="1"/>
    <n v="2"/>
    <n v="80"/>
    <x v="0"/>
    <n v="14"/>
    <x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x v="0"/>
    <n v="11"/>
    <x v="0"/>
    <n v="3"/>
    <n v="80"/>
    <x v="0"/>
    <n v="3"/>
    <x v="1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x v="1"/>
    <n v="15"/>
    <x v="0"/>
    <n v="2"/>
    <n v="80"/>
    <x v="0"/>
    <n v="7"/>
    <x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x v="1"/>
    <n v="11"/>
    <x v="0"/>
    <n v="1"/>
    <n v="80"/>
    <x v="1"/>
    <n v="16"/>
    <x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x v="1"/>
    <n v="11"/>
    <x v="0"/>
    <n v="3"/>
    <n v="80"/>
    <x v="0"/>
    <n v="15"/>
    <x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x v="0"/>
    <n v="13"/>
    <x v="0"/>
    <n v="3"/>
    <n v="80"/>
    <x v="1"/>
    <n v="10"/>
    <x v="1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x v="1"/>
    <n v="24"/>
    <x v="1"/>
    <n v="3"/>
    <n v="80"/>
    <x v="0"/>
    <n v="3"/>
    <x v="1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x v="0"/>
    <n v="13"/>
    <x v="0"/>
    <n v="2"/>
    <n v="80"/>
    <x v="0"/>
    <n v="1"/>
    <x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x v="1"/>
    <n v="20"/>
    <x v="1"/>
    <n v="2"/>
    <n v="80"/>
    <x v="1"/>
    <n v="17"/>
    <x v="1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x v="1"/>
    <n v="14"/>
    <x v="0"/>
    <n v="3"/>
    <n v="80"/>
    <x v="0"/>
    <n v="7"/>
    <x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x v="1"/>
    <n v="18"/>
    <x v="0"/>
    <n v="3"/>
    <n v="80"/>
    <x v="0"/>
    <n v="8"/>
    <x v="3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x v="1"/>
    <n v="15"/>
    <x v="0"/>
    <n v="4"/>
    <n v="80"/>
    <x v="0"/>
    <n v="20"/>
    <x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x v="0"/>
    <n v="12"/>
    <x v="0"/>
    <n v="1"/>
    <n v="80"/>
    <x v="3"/>
    <n v="8"/>
    <x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x v="0"/>
    <n v="16"/>
    <x v="0"/>
    <n v="4"/>
    <n v="80"/>
    <x v="0"/>
    <n v="3"/>
    <x v="3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x v="1"/>
    <n v="15"/>
    <x v="0"/>
    <n v="4"/>
    <n v="80"/>
    <x v="0"/>
    <n v="1"/>
    <x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x v="1"/>
    <n v="16"/>
    <x v="0"/>
    <n v="4"/>
    <n v="80"/>
    <x v="0"/>
    <n v="6"/>
    <x v="5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x v="1"/>
    <n v="19"/>
    <x v="0"/>
    <n v="3"/>
    <n v="80"/>
    <x v="0"/>
    <n v="10"/>
    <x v="3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x v="1"/>
    <n v="11"/>
    <x v="0"/>
    <n v="2"/>
    <n v="80"/>
    <x v="1"/>
    <n v="5"/>
    <x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x v="1"/>
    <n v="16"/>
    <x v="0"/>
    <n v="4"/>
    <n v="80"/>
    <x v="0"/>
    <n v="7"/>
    <x v="4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x v="1"/>
    <n v="24"/>
    <x v="1"/>
    <n v="3"/>
    <n v="80"/>
    <x v="0"/>
    <n v="26"/>
    <x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x v="1"/>
    <n v="11"/>
    <x v="0"/>
    <n v="3"/>
    <n v="80"/>
    <x v="1"/>
    <n v="18"/>
    <x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x v="1"/>
    <n v="13"/>
    <x v="0"/>
    <n v="2"/>
    <n v="80"/>
    <x v="1"/>
    <n v="6"/>
    <x v="1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x v="0"/>
    <n v="13"/>
    <x v="0"/>
    <n v="2"/>
    <n v="80"/>
    <x v="0"/>
    <n v="9"/>
    <x v="1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x v="0"/>
    <n v="13"/>
    <x v="0"/>
    <n v="3"/>
    <n v="80"/>
    <x v="0"/>
    <n v="30"/>
    <x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x v="0"/>
    <n v="12"/>
    <x v="0"/>
    <n v="4"/>
    <n v="80"/>
    <x v="1"/>
    <n v="5"/>
    <x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x v="1"/>
    <n v="18"/>
    <x v="0"/>
    <n v="1"/>
    <n v="80"/>
    <x v="1"/>
    <n v="1"/>
    <x v="1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x v="1"/>
    <n v="22"/>
    <x v="1"/>
    <n v="3"/>
    <n v="80"/>
    <x v="0"/>
    <n v="7"/>
    <x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x v="1"/>
    <n v="13"/>
    <x v="0"/>
    <n v="4"/>
    <n v="80"/>
    <x v="1"/>
    <n v="2"/>
    <x v="4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x v="1"/>
    <n v="13"/>
    <x v="0"/>
    <n v="2"/>
    <n v="80"/>
    <x v="3"/>
    <n v="10"/>
    <x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x v="0"/>
    <n v="23"/>
    <x v="1"/>
    <n v="3"/>
    <n v="80"/>
    <x v="0"/>
    <n v="3"/>
    <x v="5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x v="1"/>
    <n v="12"/>
    <x v="0"/>
    <n v="3"/>
    <n v="80"/>
    <x v="1"/>
    <n v="18"/>
    <x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x v="1"/>
    <n v="12"/>
    <x v="0"/>
    <n v="3"/>
    <n v="80"/>
    <x v="3"/>
    <n v="8"/>
    <x v="3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x v="1"/>
    <n v="16"/>
    <x v="0"/>
    <n v="2"/>
    <n v="80"/>
    <x v="1"/>
    <n v="8"/>
    <x v="3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x v="0"/>
    <n v="12"/>
    <x v="0"/>
    <n v="4"/>
    <n v="80"/>
    <x v="0"/>
    <n v="18"/>
    <x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x v="1"/>
    <n v="11"/>
    <x v="0"/>
    <n v="3"/>
    <n v="80"/>
    <x v="1"/>
    <n v="25"/>
    <x v="1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x v="1"/>
    <n v="22"/>
    <x v="1"/>
    <n v="2"/>
    <n v="80"/>
    <x v="1"/>
    <n v="20"/>
    <x v="1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x v="1"/>
    <n v="11"/>
    <x v="0"/>
    <n v="3"/>
    <n v="80"/>
    <x v="1"/>
    <n v="24"/>
    <x v="5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x v="1"/>
    <n v="15"/>
    <x v="0"/>
    <n v="1"/>
    <n v="80"/>
    <x v="1"/>
    <n v="6"/>
    <x v="1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x v="1"/>
    <n v="12"/>
    <x v="0"/>
    <n v="2"/>
    <n v="80"/>
    <x v="1"/>
    <n v="13"/>
    <x v="3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x v="1"/>
    <n v="20"/>
    <x v="1"/>
    <n v="1"/>
    <n v="80"/>
    <x v="1"/>
    <n v="8"/>
    <x v="4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x v="0"/>
    <n v="14"/>
    <x v="0"/>
    <n v="4"/>
    <n v="80"/>
    <x v="0"/>
    <n v="8"/>
    <x v="1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x v="0"/>
    <n v="11"/>
    <x v="0"/>
    <n v="2"/>
    <n v="80"/>
    <x v="0"/>
    <n v="5"/>
    <x v="1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x v="0"/>
    <n v="15"/>
    <x v="0"/>
    <n v="1"/>
    <n v="80"/>
    <x v="3"/>
    <n v="15"/>
    <x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x v="1"/>
    <n v="12"/>
    <x v="0"/>
    <n v="3"/>
    <n v="80"/>
    <x v="1"/>
    <n v="4"/>
    <x v="1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x v="0"/>
    <n v="14"/>
    <x v="0"/>
    <n v="3"/>
    <n v="80"/>
    <x v="1"/>
    <n v="21"/>
    <x v="1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x v="1"/>
    <n v="11"/>
    <x v="0"/>
    <n v="4"/>
    <n v="80"/>
    <x v="2"/>
    <n v="36"/>
    <x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x v="1"/>
    <n v="11"/>
    <x v="0"/>
    <n v="2"/>
    <n v="80"/>
    <x v="0"/>
    <n v="6"/>
    <x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x v="1"/>
    <n v="16"/>
    <x v="0"/>
    <n v="3"/>
    <n v="80"/>
    <x v="1"/>
    <n v="10"/>
    <x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x v="1"/>
    <n v="12"/>
    <x v="0"/>
    <n v="4"/>
    <n v="80"/>
    <x v="1"/>
    <n v="10"/>
    <x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x v="1"/>
    <n v="13"/>
    <x v="0"/>
    <n v="3"/>
    <n v="80"/>
    <x v="1"/>
    <n v="6"/>
    <x v="3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x v="0"/>
    <n v="14"/>
    <x v="0"/>
    <n v="3"/>
    <n v="80"/>
    <x v="0"/>
    <n v="28"/>
    <x v="5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x v="1"/>
    <n v="21"/>
    <x v="1"/>
    <n v="4"/>
    <n v="80"/>
    <x v="3"/>
    <n v="8"/>
    <x v="1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x v="1"/>
    <n v="13"/>
    <x v="0"/>
    <n v="4"/>
    <n v="80"/>
    <x v="0"/>
    <n v="31"/>
    <x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x v="1"/>
    <n v="11"/>
    <x v="0"/>
    <n v="2"/>
    <n v="80"/>
    <x v="1"/>
    <n v="19"/>
    <x v="1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x v="1"/>
    <n v="20"/>
    <x v="1"/>
    <n v="3"/>
    <n v="80"/>
    <x v="0"/>
    <n v="11"/>
    <x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x v="1"/>
    <n v="11"/>
    <x v="0"/>
    <n v="4"/>
    <n v="80"/>
    <x v="0"/>
    <n v="33"/>
    <x v="3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x v="1"/>
    <n v="14"/>
    <x v="0"/>
    <n v="3"/>
    <n v="80"/>
    <x v="1"/>
    <n v="19"/>
    <x v="3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x v="1"/>
    <n v="11"/>
    <x v="0"/>
    <n v="4"/>
    <n v="80"/>
    <x v="2"/>
    <n v="7"/>
    <x v="5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x v="0"/>
    <n v="16"/>
    <x v="0"/>
    <n v="2"/>
    <n v="80"/>
    <x v="0"/>
    <n v="6"/>
    <x v="5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x v="1"/>
    <n v="16"/>
    <x v="0"/>
    <n v="4"/>
    <n v="80"/>
    <x v="1"/>
    <n v="3"/>
    <x v="1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x v="0"/>
    <n v="23"/>
    <x v="1"/>
    <n v="3"/>
    <n v="80"/>
    <x v="1"/>
    <n v="1"/>
    <x v="1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x v="1"/>
    <n v="14"/>
    <x v="0"/>
    <n v="4"/>
    <n v="80"/>
    <x v="0"/>
    <n v="21"/>
    <x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x v="1"/>
    <n v="22"/>
    <x v="1"/>
    <n v="2"/>
    <n v="80"/>
    <x v="3"/>
    <n v="3"/>
    <x v="1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x v="1"/>
    <n v="15"/>
    <x v="0"/>
    <n v="3"/>
    <n v="80"/>
    <x v="1"/>
    <n v="9"/>
    <x v="1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x v="1"/>
    <n v="18"/>
    <x v="0"/>
    <n v="3"/>
    <n v="80"/>
    <x v="0"/>
    <n v="10"/>
    <x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x v="1"/>
    <n v="16"/>
    <x v="0"/>
    <n v="2"/>
    <n v="80"/>
    <x v="0"/>
    <n v="6"/>
    <x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x v="1"/>
    <n v="12"/>
    <x v="0"/>
    <n v="3"/>
    <n v="80"/>
    <x v="0"/>
    <n v="1"/>
    <x v="1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x v="1"/>
    <n v="11"/>
    <x v="0"/>
    <n v="3"/>
    <n v="80"/>
    <x v="0"/>
    <n v="10"/>
    <x v="1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x v="1"/>
    <n v="12"/>
    <x v="0"/>
    <n v="3"/>
    <n v="80"/>
    <x v="1"/>
    <n v="32"/>
    <x v="1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x v="1"/>
    <n v="15"/>
    <x v="0"/>
    <n v="2"/>
    <n v="80"/>
    <x v="1"/>
    <n v="28"/>
    <x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x v="1"/>
    <n v="14"/>
    <x v="0"/>
    <n v="3"/>
    <n v="80"/>
    <x v="0"/>
    <n v="12"/>
    <x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x v="1"/>
    <n v="19"/>
    <x v="0"/>
    <n v="4"/>
    <n v="80"/>
    <x v="0"/>
    <n v="22"/>
    <x v="3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x v="1"/>
    <n v="13"/>
    <x v="0"/>
    <n v="3"/>
    <n v="80"/>
    <x v="2"/>
    <n v="20"/>
    <x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x v="1"/>
    <n v="13"/>
    <x v="0"/>
    <n v="3"/>
    <n v="80"/>
    <x v="0"/>
    <n v="26"/>
    <x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x v="1"/>
    <n v="15"/>
    <x v="0"/>
    <n v="3"/>
    <n v="80"/>
    <x v="0"/>
    <n v="6"/>
    <x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x v="1"/>
    <n v="11"/>
    <x v="0"/>
    <n v="3"/>
    <n v="80"/>
    <x v="0"/>
    <n v="19"/>
    <x v="1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x v="1"/>
    <n v="12"/>
    <x v="0"/>
    <n v="3"/>
    <n v="80"/>
    <x v="1"/>
    <n v="14"/>
    <x v="1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x v="0"/>
    <n v="19"/>
    <x v="0"/>
    <n v="3"/>
    <n v="80"/>
    <x v="1"/>
    <n v="15"/>
    <x v="1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x v="1"/>
    <n v="25"/>
    <x v="1"/>
    <n v="4"/>
    <n v="80"/>
    <x v="1"/>
    <n v="13"/>
    <x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x v="0"/>
    <n v="12"/>
    <x v="0"/>
    <n v="4"/>
    <n v="80"/>
    <x v="0"/>
    <n v="15"/>
    <x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x v="1"/>
    <n v="13"/>
    <x v="0"/>
    <n v="1"/>
    <n v="80"/>
    <x v="2"/>
    <n v="8"/>
    <x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x v="1"/>
    <n v="14"/>
    <x v="0"/>
    <n v="1"/>
    <n v="80"/>
    <x v="0"/>
    <n v="4"/>
    <x v="1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x v="0"/>
    <n v="12"/>
    <x v="0"/>
    <n v="3"/>
    <n v="80"/>
    <x v="0"/>
    <n v="10"/>
    <x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x v="1"/>
    <n v="12"/>
    <x v="0"/>
    <n v="1"/>
    <n v="80"/>
    <x v="0"/>
    <n v="12"/>
    <x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x v="0"/>
    <n v="15"/>
    <x v="0"/>
    <n v="3"/>
    <n v="80"/>
    <x v="2"/>
    <n v="11"/>
    <x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x v="1"/>
    <n v="17"/>
    <x v="0"/>
    <n v="4"/>
    <n v="80"/>
    <x v="1"/>
    <n v="8"/>
    <x v="5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x v="1"/>
    <n v="14"/>
    <x v="0"/>
    <n v="4"/>
    <n v="80"/>
    <x v="0"/>
    <n v="10"/>
    <x v="1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x v="1"/>
    <n v="16"/>
    <x v="0"/>
    <n v="3"/>
    <n v="80"/>
    <x v="0"/>
    <n v="4"/>
    <x v="1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x v="1"/>
    <n v="14"/>
    <x v="0"/>
    <n v="1"/>
    <n v="80"/>
    <x v="1"/>
    <n v="14"/>
    <x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x v="1"/>
    <n v="23"/>
    <x v="1"/>
    <n v="4"/>
    <n v="80"/>
    <x v="0"/>
    <n v="37"/>
    <x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x v="1"/>
    <n v="14"/>
    <x v="0"/>
    <n v="4"/>
    <n v="80"/>
    <x v="0"/>
    <n v="16"/>
    <x v="1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x v="1"/>
    <n v="11"/>
    <x v="0"/>
    <n v="3"/>
    <n v="80"/>
    <x v="0"/>
    <n v="15"/>
    <x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x v="1"/>
    <n v="15"/>
    <x v="0"/>
    <n v="3"/>
    <n v="80"/>
    <x v="0"/>
    <n v="22"/>
    <x v="1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x v="1"/>
    <n v="11"/>
    <x v="0"/>
    <n v="1"/>
    <n v="80"/>
    <x v="1"/>
    <n v="8"/>
    <x v="1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x v="0"/>
    <n v="13"/>
    <x v="0"/>
    <n v="3"/>
    <n v="80"/>
    <x v="0"/>
    <n v="10"/>
    <x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x v="0"/>
    <n v="21"/>
    <x v="1"/>
    <n v="4"/>
    <n v="80"/>
    <x v="1"/>
    <n v="10"/>
    <x v="3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x v="1"/>
    <n v="19"/>
    <x v="0"/>
    <n v="2"/>
    <n v="80"/>
    <x v="1"/>
    <n v="9"/>
    <x v="1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x v="0"/>
    <n v="11"/>
    <x v="0"/>
    <n v="2"/>
    <n v="80"/>
    <x v="1"/>
    <n v="8"/>
    <x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x v="1"/>
    <n v="12"/>
    <x v="0"/>
    <n v="2"/>
    <n v="80"/>
    <x v="3"/>
    <n v="8"/>
    <x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x v="1"/>
    <n v="19"/>
    <x v="0"/>
    <n v="3"/>
    <n v="80"/>
    <x v="1"/>
    <n v="10"/>
    <x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x v="1"/>
    <n v="21"/>
    <x v="1"/>
    <n v="3"/>
    <n v="80"/>
    <x v="1"/>
    <n v="10"/>
    <x v="1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x v="0"/>
    <n v="14"/>
    <x v="0"/>
    <n v="4"/>
    <n v="80"/>
    <x v="0"/>
    <n v="0"/>
    <x v="1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x v="1"/>
    <n v="15"/>
    <x v="0"/>
    <n v="3"/>
    <n v="80"/>
    <x v="1"/>
    <n v="20"/>
    <x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x v="0"/>
    <n v="17"/>
    <x v="0"/>
    <n v="1"/>
    <n v="80"/>
    <x v="0"/>
    <n v="10"/>
    <x v="1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x v="1"/>
    <n v="12"/>
    <x v="0"/>
    <n v="1"/>
    <n v="80"/>
    <x v="3"/>
    <n v="8"/>
    <x v="3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x v="1"/>
    <n v="16"/>
    <x v="0"/>
    <n v="4"/>
    <n v="80"/>
    <x v="0"/>
    <n v="5"/>
    <x v="1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x v="1"/>
    <n v="12"/>
    <x v="0"/>
    <n v="4"/>
    <n v="80"/>
    <x v="0"/>
    <n v="10"/>
    <x v="1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x v="0"/>
    <n v="18"/>
    <x v="0"/>
    <n v="2"/>
    <n v="80"/>
    <x v="0"/>
    <n v="1"/>
    <x v="1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x v="1"/>
    <n v="17"/>
    <x v="0"/>
    <n v="4"/>
    <n v="80"/>
    <x v="0"/>
    <n v="12"/>
    <x v="1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x v="1"/>
    <n v="11"/>
    <x v="0"/>
    <n v="4"/>
    <n v="80"/>
    <x v="0"/>
    <n v="28"/>
    <x v="1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x v="1"/>
    <n v="16"/>
    <x v="0"/>
    <n v="2"/>
    <n v="80"/>
    <x v="1"/>
    <n v="22"/>
    <x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x v="1"/>
    <n v="13"/>
    <x v="0"/>
    <n v="4"/>
    <n v="80"/>
    <x v="1"/>
    <n v="9"/>
    <x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x v="0"/>
    <n v="12"/>
    <x v="0"/>
    <n v="2"/>
    <n v="80"/>
    <x v="3"/>
    <n v="18"/>
    <x v="1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x v="1"/>
    <n v="12"/>
    <x v="0"/>
    <n v="4"/>
    <n v="80"/>
    <x v="0"/>
    <n v="6"/>
    <x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x v="1"/>
    <n v="13"/>
    <x v="0"/>
    <n v="3"/>
    <n v="80"/>
    <x v="3"/>
    <n v="3"/>
    <x v="1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x v="1"/>
    <n v="19"/>
    <x v="0"/>
    <n v="3"/>
    <n v="80"/>
    <x v="1"/>
    <n v="18"/>
    <x v="5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x v="1"/>
    <n v="12"/>
    <x v="0"/>
    <n v="2"/>
    <n v="80"/>
    <x v="1"/>
    <n v="8"/>
    <x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x v="0"/>
    <n v="17"/>
    <x v="0"/>
    <n v="3"/>
    <n v="80"/>
    <x v="1"/>
    <n v="31"/>
    <x v="3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x v="0"/>
    <n v="11"/>
    <x v="0"/>
    <n v="2"/>
    <n v="80"/>
    <x v="3"/>
    <n v="6"/>
    <x v="1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x v="1"/>
    <n v="20"/>
    <x v="1"/>
    <n v="4"/>
    <n v="80"/>
    <x v="3"/>
    <n v="6"/>
    <x v="3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x v="1"/>
    <n v="21"/>
    <x v="1"/>
    <n v="4"/>
    <n v="80"/>
    <x v="1"/>
    <n v="1"/>
    <x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x v="1"/>
    <n v="11"/>
    <x v="0"/>
    <n v="3"/>
    <n v="80"/>
    <x v="1"/>
    <n v="32"/>
    <x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x v="1"/>
    <n v="11"/>
    <x v="0"/>
    <n v="3"/>
    <n v="80"/>
    <x v="0"/>
    <n v="7"/>
    <x v="4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x v="0"/>
    <n v="16"/>
    <x v="0"/>
    <n v="4"/>
    <n v="80"/>
    <x v="1"/>
    <n v="6"/>
    <x v="5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x v="1"/>
    <n v="18"/>
    <x v="0"/>
    <n v="3"/>
    <n v="80"/>
    <x v="1"/>
    <n v="1"/>
    <x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x v="0"/>
    <n v="13"/>
    <x v="0"/>
    <n v="4"/>
    <n v="80"/>
    <x v="1"/>
    <n v="6"/>
    <x v="1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x v="1"/>
    <n v="17"/>
    <x v="0"/>
    <n v="3"/>
    <n v="80"/>
    <x v="0"/>
    <n v="9"/>
    <x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x v="1"/>
    <n v="14"/>
    <x v="0"/>
    <n v="4"/>
    <n v="80"/>
    <x v="0"/>
    <n v="9"/>
    <x v="1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x v="1"/>
    <n v="22"/>
    <x v="1"/>
    <n v="4"/>
    <n v="80"/>
    <x v="3"/>
    <n v="13"/>
    <x v="5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x v="1"/>
    <n v="12"/>
    <x v="0"/>
    <n v="3"/>
    <n v="80"/>
    <x v="3"/>
    <n v="6"/>
    <x v="3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x v="0"/>
    <n v="11"/>
    <x v="0"/>
    <n v="3"/>
    <n v="80"/>
    <x v="1"/>
    <n v="17"/>
    <x v="1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x v="1"/>
    <n v="13"/>
    <x v="0"/>
    <n v="4"/>
    <n v="80"/>
    <x v="0"/>
    <n v="1"/>
    <x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x v="1"/>
    <n v="13"/>
    <x v="0"/>
    <n v="2"/>
    <n v="80"/>
    <x v="3"/>
    <n v="10"/>
    <x v="5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x v="0"/>
    <n v="14"/>
    <x v="0"/>
    <n v="3"/>
    <n v="80"/>
    <x v="1"/>
    <n v="21"/>
    <x v="1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x v="1"/>
    <n v="17"/>
    <x v="0"/>
    <n v="4"/>
    <n v="80"/>
    <x v="0"/>
    <n v="8"/>
    <x v="1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x v="0"/>
    <n v="13"/>
    <x v="0"/>
    <n v="2"/>
    <n v="80"/>
    <x v="1"/>
    <n v="10"/>
    <x v="1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x v="1"/>
    <n v="11"/>
    <x v="0"/>
    <n v="1"/>
    <n v="80"/>
    <x v="1"/>
    <n v="21"/>
    <x v="1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x v="1"/>
    <n v="11"/>
    <x v="0"/>
    <n v="2"/>
    <n v="80"/>
    <x v="0"/>
    <n v="10"/>
    <x v="4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x v="0"/>
    <n v="18"/>
    <x v="0"/>
    <n v="4"/>
    <n v="80"/>
    <x v="3"/>
    <n v="8"/>
    <x v="1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x v="1"/>
    <n v="11"/>
    <x v="0"/>
    <n v="2"/>
    <n v="80"/>
    <x v="1"/>
    <n v="5"/>
    <x v="1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x v="1"/>
    <n v="11"/>
    <x v="0"/>
    <n v="3"/>
    <n v="80"/>
    <x v="0"/>
    <n v="3"/>
    <x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x v="0"/>
    <n v="12"/>
    <x v="0"/>
    <n v="1"/>
    <n v="80"/>
    <x v="1"/>
    <n v="26"/>
    <x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x v="1"/>
    <n v="20"/>
    <x v="1"/>
    <n v="4"/>
    <n v="80"/>
    <x v="0"/>
    <n v="3"/>
    <x v="1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x v="1"/>
    <n v="12"/>
    <x v="0"/>
    <n v="4"/>
    <n v="80"/>
    <x v="0"/>
    <n v="6"/>
    <x v="1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x v="0"/>
    <n v="12"/>
    <x v="0"/>
    <n v="4"/>
    <n v="80"/>
    <x v="1"/>
    <n v="6"/>
    <x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x v="1"/>
    <n v="20"/>
    <x v="1"/>
    <n v="3"/>
    <n v="80"/>
    <x v="1"/>
    <n v="1"/>
    <x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x v="1"/>
    <n v="20"/>
    <x v="1"/>
    <n v="4"/>
    <n v="80"/>
    <x v="0"/>
    <n v="18"/>
    <x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x v="1"/>
    <n v="12"/>
    <x v="0"/>
    <n v="4"/>
    <n v="80"/>
    <x v="1"/>
    <n v="10"/>
    <x v="5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x v="1"/>
    <n v="14"/>
    <x v="0"/>
    <n v="4"/>
    <n v="80"/>
    <x v="3"/>
    <n v="5"/>
    <x v="5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x v="0"/>
    <n v="13"/>
    <x v="0"/>
    <n v="3"/>
    <n v="80"/>
    <x v="1"/>
    <n v="3"/>
    <x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x v="1"/>
    <n v="15"/>
    <x v="0"/>
    <n v="3"/>
    <n v="80"/>
    <x v="1"/>
    <n v="10"/>
    <x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x v="1"/>
    <n v="14"/>
    <x v="0"/>
    <n v="1"/>
    <n v="80"/>
    <x v="1"/>
    <n v="6"/>
    <x v="3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x v="1"/>
    <n v="13"/>
    <x v="0"/>
    <n v="2"/>
    <n v="80"/>
    <x v="0"/>
    <n v="17"/>
    <x v="1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x v="1"/>
    <n v="23"/>
    <x v="1"/>
    <n v="3"/>
    <n v="80"/>
    <x v="1"/>
    <n v="15"/>
    <x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x v="1"/>
    <n v="15"/>
    <x v="0"/>
    <n v="3"/>
    <n v="80"/>
    <x v="1"/>
    <n v="16"/>
    <x v="4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x v="0"/>
    <n v="11"/>
    <x v="0"/>
    <n v="3"/>
    <n v="80"/>
    <x v="1"/>
    <n v="13"/>
    <x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x v="1"/>
    <n v="13"/>
    <x v="0"/>
    <n v="4"/>
    <n v="80"/>
    <x v="0"/>
    <n v="5"/>
    <x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x v="0"/>
    <n v="11"/>
    <x v="0"/>
    <n v="4"/>
    <n v="80"/>
    <x v="0"/>
    <n v="1"/>
    <x v="3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x v="0"/>
    <n v="11"/>
    <x v="0"/>
    <n v="1"/>
    <n v="80"/>
    <x v="0"/>
    <n v="10"/>
    <x v="1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x v="1"/>
    <n v="18"/>
    <x v="0"/>
    <n v="3"/>
    <n v="80"/>
    <x v="3"/>
    <n v="1"/>
    <x v="1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x v="1"/>
    <n v="16"/>
    <x v="0"/>
    <n v="1"/>
    <n v="80"/>
    <x v="1"/>
    <n v="5"/>
    <x v="1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x v="1"/>
    <n v="22"/>
    <x v="1"/>
    <n v="3"/>
    <n v="80"/>
    <x v="1"/>
    <n v="4"/>
    <x v="5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x v="1"/>
    <n v="20"/>
    <x v="1"/>
    <n v="1"/>
    <n v="80"/>
    <x v="0"/>
    <n v="8"/>
    <x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x v="1"/>
    <n v="18"/>
    <x v="0"/>
    <n v="4"/>
    <n v="80"/>
    <x v="1"/>
    <n v="10"/>
    <x v="3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x v="1"/>
    <n v="12"/>
    <x v="0"/>
    <n v="4"/>
    <n v="80"/>
    <x v="0"/>
    <n v="12"/>
    <x v="1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x v="0"/>
    <n v="20"/>
    <x v="1"/>
    <n v="2"/>
    <n v="80"/>
    <x v="3"/>
    <n v="6"/>
    <x v="1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x v="1"/>
    <n v="17"/>
    <x v="0"/>
    <n v="1"/>
    <n v="80"/>
    <x v="0"/>
    <n v="4"/>
    <x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x v="0"/>
    <n v="11"/>
    <x v="0"/>
    <n v="3"/>
    <n v="80"/>
    <x v="2"/>
    <n v="20"/>
    <x v="1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x v="1"/>
    <n v="14"/>
    <x v="0"/>
    <n v="2"/>
    <n v="80"/>
    <x v="0"/>
    <n v="9"/>
    <x v="1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x v="1"/>
    <n v="14"/>
    <x v="0"/>
    <n v="1"/>
    <n v="80"/>
    <x v="0"/>
    <n v="4"/>
    <x v="1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x v="1"/>
    <n v="11"/>
    <x v="0"/>
    <n v="1"/>
    <n v="80"/>
    <x v="0"/>
    <n v="20"/>
    <x v="5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x v="1"/>
    <n v="12"/>
    <x v="0"/>
    <n v="4"/>
    <n v="80"/>
    <x v="0"/>
    <n v="10"/>
    <x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x v="0"/>
    <n v="14"/>
    <x v="0"/>
    <n v="1"/>
    <n v="80"/>
    <x v="1"/>
    <n v="18"/>
    <x v="5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x v="1"/>
    <n v="13"/>
    <x v="0"/>
    <n v="3"/>
    <n v="80"/>
    <x v="0"/>
    <n v="10"/>
    <x v="5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x v="1"/>
    <n v="11"/>
    <x v="0"/>
    <n v="4"/>
    <n v="80"/>
    <x v="0"/>
    <n v="9"/>
    <x v="1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x v="1"/>
    <n v="15"/>
    <x v="0"/>
    <n v="4"/>
    <n v="80"/>
    <x v="0"/>
    <n v="10"/>
    <x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x v="1"/>
    <n v="12"/>
    <x v="0"/>
    <n v="4"/>
    <n v="80"/>
    <x v="0"/>
    <n v="20"/>
    <x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x v="0"/>
    <n v="21"/>
    <x v="1"/>
    <n v="3"/>
    <n v="80"/>
    <x v="1"/>
    <n v="20"/>
    <x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x v="1"/>
    <n v="19"/>
    <x v="0"/>
    <n v="3"/>
    <n v="80"/>
    <x v="0"/>
    <n v="32"/>
    <x v="1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x v="1"/>
    <n v="15"/>
    <x v="0"/>
    <n v="2"/>
    <n v="80"/>
    <x v="2"/>
    <n v="23"/>
    <x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x v="1"/>
    <n v="14"/>
    <x v="0"/>
    <n v="4"/>
    <n v="80"/>
    <x v="0"/>
    <n v="10"/>
    <x v="4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x v="1"/>
    <n v="21"/>
    <x v="1"/>
    <n v="3"/>
    <n v="80"/>
    <x v="3"/>
    <n v="9"/>
    <x v="5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x v="1"/>
    <n v="12"/>
    <x v="0"/>
    <n v="2"/>
    <n v="80"/>
    <x v="1"/>
    <n v="22"/>
    <x v="1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x v="1"/>
    <n v="15"/>
    <x v="0"/>
    <n v="4"/>
    <n v="80"/>
    <x v="1"/>
    <n v="4"/>
    <x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x v="0"/>
    <n v="13"/>
    <x v="0"/>
    <n v="4"/>
    <n v="80"/>
    <x v="0"/>
    <n v="10"/>
    <x v="5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x v="1"/>
    <n v="14"/>
    <x v="0"/>
    <n v="1"/>
    <n v="80"/>
    <x v="1"/>
    <n v="10"/>
    <x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x v="0"/>
    <n v="14"/>
    <x v="0"/>
    <n v="4"/>
    <n v="80"/>
    <x v="0"/>
    <n v="10"/>
    <x v="5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x v="1"/>
    <n v="14"/>
    <x v="0"/>
    <n v="3"/>
    <n v="80"/>
    <x v="0"/>
    <n v="9"/>
    <x v="3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x v="0"/>
    <n v="12"/>
    <x v="0"/>
    <n v="4"/>
    <n v="80"/>
    <x v="3"/>
    <n v="28"/>
    <x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x v="1"/>
    <n v="23"/>
    <x v="1"/>
    <n v="4"/>
    <n v="80"/>
    <x v="1"/>
    <n v="10"/>
    <x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x v="1"/>
    <n v="11"/>
    <x v="0"/>
    <n v="3"/>
    <n v="80"/>
    <x v="0"/>
    <n v="1"/>
    <x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x v="0"/>
    <n v="12"/>
    <x v="0"/>
    <n v="4"/>
    <n v="80"/>
    <x v="0"/>
    <n v="7"/>
    <x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x v="1"/>
    <n v="18"/>
    <x v="0"/>
    <n v="3"/>
    <n v="80"/>
    <x v="1"/>
    <n v="7"/>
    <x v="3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x v="1"/>
    <n v="11"/>
    <x v="0"/>
    <n v="4"/>
    <n v="80"/>
    <x v="0"/>
    <n v="10"/>
    <x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x v="1"/>
    <n v="14"/>
    <x v="0"/>
    <n v="4"/>
    <n v="80"/>
    <x v="1"/>
    <n v="5"/>
    <x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x v="1"/>
    <n v="15"/>
    <x v="0"/>
    <n v="3"/>
    <n v="80"/>
    <x v="1"/>
    <n v="12"/>
    <x v="1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x v="1"/>
    <n v="11"/>
    <x v="0"/>
    <n v="3"/>
    <n v="80"/>
    <x v="0"/>
    <n v="30"/>
    <x v="4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x v="0"/>
    <n v="20"/>
    <x v="1"/>
    <n v="4"/>
    <n v="80"/>
    <x v="0"/>
    <n v="5"/>
    <x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x v="1"/>
    <n v="19"/>
    <x v="0"/>
    <n v="1"/>
    <n v="80"/>
    <x v="0"/>
    <n v="9"/>
    <x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x v="1"/>
    <n v="14"/>
    <x v="0"/>
    <n v="4"/>
    <n v="80"/>
    <x v="3"/>
    <n v="2"/>
    <x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x v="1"/>
    <n v="17"/>
    <x v="0"/>
    <n v="4"/>
    <n v="80"/>
    <x v="0"/>
    <n v="19"/>
    <x v="5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x v="1"/>
    <n v="11"/>
    <x v="0"/>
    <n v="1"/>
    <n v="80"/>
    <x v="1"/>
    <n v="16"/>
    <x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x v="1"/>
    <n v="15"/>
    <x v="0"/>
    <n v="4"/>
    <n v="80"/>
    <x v="3"/>
    <n v="10"/>
    <x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x v="0"/>
    <n v="13"/>
    <x v="0"/>
    <n v="2"/>
    <n v="80"/>
    <x v="1"/>
    <n v="6"/>
    <x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x v="1"/>
    <n v="14"/>
    <x v="0"/>
    <n v="3"/>
    <n v="80"/>
    <x v="1"/>
    <n v="7"/>
    <x v="1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x v="1"/>
    <n v="11"/>
    <x v="0"/>
    <n v="1"/>
    <n v="80"/>
    <x v="0"/>
    <n v="34"/>
    <x v="1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x v="0"/>
    <n v="13"/>
    <x v="0"/>
    <n v="3"/>
    <n v="80"/>
    <x v="0"/>
    <n v="10"/>
    <x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x v="1"/>
    <n v="23"/>
    <x v="1"/>
    <n v="2"/>
    <n v="80"/>
    <x v="0"/>
    <n v="6"/>
    <x v="3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x v="1"/>
    <n v="13"/>
    <x v="0"/>
    <n v="1"/>
    <n v="80"/>
    <x v="0"/>
    <n v="9"/>
    <x v="1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x v="1"/>
    <n v="18"/>
    <x v="0"/>
    <n v="4"/>
    <n v="80"/>
    <x v="0"/>
    <n v="2"/>
    <x v="1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x v="0"/>
    <n v="12"/>
    <x v="0"/>
    <n v="4"/>
    <n v="80"/>
    <x v="0"/>
    <n v="8"/>
    <x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x v="1"/>
    <n v="22"/>
    <x v="1"/>
    <n v="3"/>
    <n v="80"/>
    <x v="0"/>
    <n v="6"/>
    <x v="3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x v="0"/>
    <n v="13"/>
    <x v="0"/>
    <n v="4"/>
    <n v="80"/>
    <x v="1"/>
    <n v="24"/>
    <x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x v="1"/>
    <n v="15"/>
    <x v="0"/>
    <n v="2"/>
    <n v="80"/>
    <x v="0"/>
    <n v="10"/>
    <x v="4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x v="1"/>
    <n v="18"/>
    <x v="0"/>
    <n v="1"/>
    <n v="80"/>
    <x v="1"/>
    <n v="5"/>
    <x v="1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x v="1"/>
    <n v="14"/>
    <x v="0"/>
    <n v="1"/>
    <n v="80"/>
    <x v="1"/>
    <n v="5"/>
    <x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x v="1"/>
    <n v="12"/>
    <x v="0"/>
    <n v="1"/>
    <n v="80"/>
    <x v="1"/>
    <n v="11"/>
    <x v="1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x v="1"/>
    <n v="17"/>
    <x v="0"/>
    <n v="3"/>
    <n v="80"/>
    <x v="0"/>
    <n v="6"/>
    <x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x v="1"/>
    <n v="16"/>
    <x v="0"/>
    <n v="3"/>
    <n v="80"/>
    <x v="0"/>
    <n v="10"/>
    <x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x v="0"/>
    <n v="11"/>
    <x v="0"/>
    <n v="2"/>
    <n v="80"/>
    <x v="3"/>
    <n v="9"/>
    <x v="5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x v="1"/>
    <n v="19"/>
    <x v="0"/>
    <n v="2"/>
    <n v="80"/>
    <x v="1"/>
    <n v="5"/>
    <x v="1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x v="0"/>
    <n v="13"/>
    <x v="0"/>
    <n v="2"/>
    <n v="80"/>
    <x v="3"/>
    <n v="6"/>
    <x v="1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x v="0"/>
    <n v="12"/>
    <x v="0"/>
    <n v="4"/>
    <n v="80"/>
    <x v="0"/>
    <n v="17"/>
    <x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x v="1"/>
    <n v="11"/>
    <x v="0"/>
    <n v="3"/>
    <n v="80"/>
    <x v="0"/>
    <n v="6"/>
    <x v="1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x v="1"/>
    <n v="16"/>
    <x v="0"/>
    <n v="2"/>
    <n v="80"/>
    <x v="1"/>
    <n v="3"/>
    <x v="4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x v="1"/>
    <n v="21"/>
    <x v="1"/>
    <n v="3"/>
    <n v="80"/>
    <x v="3"/>
    <n v="7"/>
    <x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x v="1"/>
    <n v="24"/>
    <x v="1"/>
    <n v="4"/>
    <n v="80"/>
    <x v="1"/>
    <n v="8"/>
    <x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x v="1"/>
    <n v="17"/>
    <x v="0"/>
    <n v="2"/>
    <n v="80"/>
    <x v="1"/>
    <n v="6"/>
    <x v="4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x v="1"/>
    <n v="13"/>
    <x v="0"/>
    <n v="2"/>
    <n v="80"/>
    <x v="1"/>
    <n v="24"/>
    <x v="5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x v="0"/>
    <n v="21"/>
    <x v="1"/>
    <n v="3"/>
    <n v="80"/>
    <x v="3"/>
    <n v="1"/>
    <x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x v="1"/>
    <n v="11"/>
    <x v="0"/>
    <n v="3"/>
    <n v="80"/>
    <x v="2"/>
    <n v="1"/>
    <x v="5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x v="1"/>
    <n v="20"/>
    <x v="1"/>
    <n v="2"/>
    <n v="80"/>
    <x v="1"/>
    <n v="9"/>
    <x v="1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x v="1"/>
    <n v="16"/>
    <x v="0"/>
    <n v="4"/>
    <n v="80"/>
    <x v="0"/>
    <n v="30"/>
    <x v="1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x v="0"/>
    <n v="11"/>
    <x v="0"/>
    <n v="4"/>
    <n v="80"/>
    <x v="1"/>
    <n v="1"/>
    <x v="4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x v="1"/>
    <n v="11"/>
    <x v="0"/>
    <n v="4"/>
    <n v="80"/>
    <x v="0"/>
    <n v="14"/>
    <x v="1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x v="1"/>
    <n v="15"/>
    <x v="0"/>
    <n v="3"/>
    <n v="80"/>
    <x v="0"/>
    <n v="6"/>
    <x v="1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x v="0"/>
    <n v="11"/>
    <x v="0"/>
    <n v="3"/>
    <n v="80"/>
    <x v="1"/>
    <n v="26"/>
    <x v="1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x v="1"/>
    <n v="15"/>
    <x v="0"/>
    <n v="1"/>
    <n v="80"/>
    <x v="1"/>
    <n v="10"/>
    <x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x v="1"/>
    <n v="24"/>
    <x v="1"/>
    <n v="3"/>
    <n v="80"/>
    <x v="1"/>
    <n v="10"/>
    <x v="1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x v="0"/>
    <n v="12"/>
    <x v="0"/>
    <n v="4"/>
    <n v="80"/>
    <x v="0"/>
    <n v="40"/>
    <x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x v="1"/>
    <n v="13"/>
    <x v="0"/>
    <n v="3"/>
    <n v="80"/>
    <x v="0"/>
    <n v="7"/>
    <x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x v="0"/>
    <n v="13"/>
    <x v="0"/>
    <n v="4"/>
    <n v="80"/>
    <x v="1"/>
    <n v="8"/>
    <x v="5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x v="1"/>
    <n v="17"/>
    <x v="0"/>
    <n v="4"/>
    <n v="80"/>
    <x v="0"/>
    <n v="5"/>
    <x v="1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x v="1"/>
    <n v="13"/>
    <x v="0"/>
    <n v="2"/>
    <n v="80"/>
    <x v="1"/>
    <n v="8"/>
    <x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x v="1"/>
    <n v="12"/>
    <x v="0"/>
    <n v="3"/>
    <n v="80"/>
    <x v="1"/>
    <n v="14"/>
    <x v="1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x v="1"/>
    <n v="14"/>
    <x v="0"/>
    <n v="4"/>
    <n v="80"/>
    <x v="0"/>
    <n v="10"/>
    <x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x v="0"/>
    <n v="24"/>
    <x v="1"/>
    <n v="2"/>
    <n v="80"/>
    <x v="0"/>
    <n v="12"/>
    <x v="5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x v="1"/>
    <n v="14"/>
    <x v="0"/>
    <n v="4"/>
    <n v="80"/>
    <x v="0"/>
    <n v="1"/>
    <x v="1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x v="1"/>
    <n v="13"/>
    <x v="0"/>
    <n v="4"/>
    <n v="80"/>
    <x v="1"/>
    <n v="10"/>
    <x v="1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x v="1"/>
    <n v="15"/>
    <x v="0"/>
    <n v="3"/>
    <n v="80"/>
    <x v="1"/>
    <n v="13"/>
    <x v="1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x v="1"/>
    <n v="16"/>
    <x v="0"/>
    <n v="3"/>
    <n v="80"/>
    <x v="0"/>
    <n v="6"/>
    <x v="1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x v="1"/>
    <n v="18"/>
    <x v="0"/>
    <n v="1"/>
    <n v="80"/>
    <x v="3"/>
    <n v="9"/>
    <x v="1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x v="1"/>
    <n v="16"/>
    <x v="0"/>
    <n v="3"/>
    <n v="80"/>
    <x v="0"/>
    <n v="12"/>
    <x v="1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x v="1"/>
    <n v="24"/>
    <x v="1"/>
    <n v="3"/>
    <n v="80"/>
    <x v="1"/>
    <n v="22"/>
    <x v="1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x v="0"/>
    <n v="16"/>
    <x v="0"/>
    <n v="2"/>
    <n v="80"/>
    <x v="1"/>
    <n v="9"/>
    <x v="1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x v="1"/>
    <n v="21"/>
    <x v="1"/>
    <n v="2"/>
    <n v="80"/>
    <x v="0"/>
    <n v="17"/>
    <x v="1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x v="0"/>
    <n v="20"/>
    <x v="1"/>
    <n v="1"/>
    <n v="80"/>
    <x v="0"/>
    <n v="8"/>
    <x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x v="1"/>
    <n v="19"/>
    <x v="0"/>
    <n v="3"/>
    <n v="80"/>
    <x v="1"/>
    <n v="4"/>
    <x v="4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x v="0"/>
    <n v="14"/>
    <x v="0"/>
    <n v="1"/>
    <n v="80"/>
    <x v="1"/>
    <n v="8"/>
    <x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x v="1"/>
    <n v="11"/>
    <x v="0"/>
    <n v="3"/>
    <n v="80"/>
    <x v="2"/>
    <n v="0"/>
    <x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x v="1"/>
    <n v="14"/>
    <x v="0"/>
    <n v="3"/>
    <n v="80"/>
    <x v="1"/>
    <n v="29"/>
    <x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x v="1"/>
    <n v="12"/>
    <x v="0"/>
    <n v="4"/>
    <n v="80"/>
    <x v="0"/>
    <n v="10"/>
    <x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x v="1"/>
    <n v="13"/>
    <x v="0"/>
    <n v="3"/>
    <n v="80"/>
    <x v="0"/>
    <n v="6"/>
    <x v="1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x v="1"/>
    <n v="22"/>
    <x v="1"/>
    <n v="1"/>
    <n v="80"/>
    <x v="1"/>
    <n v="9"/>
    <x v="3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x v="1"/>
    <n v="11"/>
    <x v="0"/>
    <n v="4"/>
    <n v="80"/>
    <x v="0"/>
    <n v="6"/>
    <x v="1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x v="0"/>
    <n v="14"/>
    <x v="0"/>
    <n v="4"/>
    <n v="80"/>
    <x v="1"/>
    <n v="18"/>
    <x v="4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x v="1"/>
    <n v="11"/>
    <x v="0"/>
    <n v="3"/>
    <n v="80"/>
    <x v="1"/>
    <n v="8"/>
    <x v="1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x v="1"/>
    <n v="12"/>
    <x v="0"/>
    <n v="2"/>
    <n v="80"/>
    <x v="1"/>
    <n v="10"/>
    <x v="1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x v="0"/>
    <n v="18"/>
    <x v="0"/>
    <n v="4"/>
    <n v="80"/>
    <x v="1"/>
    <n v="35"/>
    <x v="1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x v="0"/>
    <n v="12"/>
    <x v="0"/>
    <n v="3"/>
    <n v="80"/>
    <x v="1"/>
    <n v="18"/>
    <x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x v="1"/>
    <n v="12"/>
    <x v="0"/>
    <n v="3"/>
    <n v="80"/>
    <x v="1"/>
    <n v="9"/>
    <x v="1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x v="1"/>
    <n v="22"/>
    <x v="1"/>
    <n v="3"/>
    <n v="80"/>
    <x v="0"/>
    <n v="31"/>
    <x v="1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x v="1"/>
    <n v="19"/>
    <x v="0"/>
    <n v="4"/>
    <n v="80"/>
    <x v="3"/>
    <n v="9"/>
    <x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x v="1"/>
    <n v="13"/>
    <x v="0"/>
    <n v="4"/>
    <n v="80"/>
    <x v="1"/>
    <n v="6"/>
    <x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x v="1"/>
    <n v="22"/>
    <x v="1"/>
    <n v="1"/>
    <n v="80"/>
    <x v="3"/>
    <n v="4"/>
    <x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x v="0"/>
    <n v="24"/>
    <x v="1"/>
    <n v="3"/>
    <n v="80"/>
    <x v="1"/>
    <n v="10"/>
    <x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x v="0"/>
    <n v="14"/>
    <x v="0"/>
    <n v="4"/>
    <n v="80"/>
    <x v="0"/>
    <n v="8"/>
    <x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x v="1"/>
    <n v="21"/>
    <x v="1"/>
    <n v="3"/>
    <n v="80"/>
    <x v="0"/>
    <n v="6"/>
    <x v="1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x v="0"/>
    <n v="18"/>
    <x v="0"/>
    <n v="4"/>
    <n v="80"/>
    <x v="0"/>
    <n v="5"/>
    <x v="1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x v="0"/>
    <n v="20"/>
    <x v="1"/>
    <n v="2"/>
    <n v="80"/>
    <x v="1"/>
    <n v="17"/>
    <x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x v="0"/>
    <n v="19"/>
    <x v="0"/>
    <n v="1"/>
    <n v="80"/>
    <x v="1"/>
    <n v="10"/>
    <x v="1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x v="1"/>
    <n v="12"/>
    <x v="0"/>
    <n v="2"/>
    <n v="80"/>
    <x v="1"/>
    <n v="4"/>
    <x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x v="1"/>
    <n v="12"/>
    <x v="0"/>
    <n v="1"/>
    <n v="80"/>
    <x v="0"/>
    <n v="5"/>
    <x v="4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x v="1"/>
    <n v="16"/>
    <x v="0"/>
    <n v="2"/>
    <n v="80"/>
    <x v="1"/>
    <n v="7"/>
    <x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x v="1"/>
    <n v="17"/>
    <x v="0"/>
    <n v="4"/>
    <n v="80"/>
    <x v="0"/>
    <n v="6"/>
    <x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x v="1"/>
    <n v="14"/>
    <x v="0"/>
    <n v="4"/>
    <n v="80"/>
    <x v="1"/>
    <n v="10"/>
    <x v="1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x v="1"/>
    <n v="19"/>
    <x v="0"/>
    <n v="4"/>
    <n v="80"/>
    <x v="1"/>
    <n v="3"/>
    <x v="1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x v="0"/>
    <n v="13"/>
    <x v="0"/>
    <n v="2"/>
    <n v="80"/>
    <x v="1"/>
    <n v="17"/>
    <x v="4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x v="0"/>
    <n v="19"/>
    <x v="0"/>
    <n v="2"/>
    <n v="80"/>
    <x v="1"/>
    <n v="8"/>
    <x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x v="0"/>
    <n v="19"/>
    <x v="0"/>
    <n v="3"/>
    <n v="80"/>
    <x v="2"/>
    <n v="5"/>
    <x v="1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x v="1"/>
    <n v="14"/>
    <x v="0"/>
    <n v="3"/>
    <n v="80"/>
    <x v="1"/>
    <n v="28"/>
    <x v="1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x v="1"/>
    <n v="16"/>
    <x v="0"/>
    <n v="1"/>
    <n v="80"/>
    <x v="0"/>
    <n v="16"/>
    <x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x v="1"/>
    <n v="15"/>
    <x v="0"/>
    <n v="2"/>
    <n v="80"/>
    <x v="1"/>
    <n v="10"/>
    <x v="1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x v="1"/>
    <n v="18"/>
    <x v="0"/>
    <n v="3"/>
    <n v="80"/>
    <x v="0"/>
    <n v="33"/>
    <x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x v="1"/>
    <n v="13"/>
    <x v="0"/>
    <n v="2"/>
    <n v="80"/>
    <x v="1"/>
    <n v="12"/>
    <x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x v="0"/>
    <n v="22"/>
    <x v="1"/>
    <n v="1"/>
    <n v="80"/>
    <x v="1"/>
    <n v="8"/>
    <x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x v="0"/>
    <n v="13"/>
    <x v="0"/>
    <n v="4"/>
    <n v="80"/>
    <x v="0"/>
    <n v="10"/>
    <x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x v="1"/>
    <n v="11"/>
    <x v="0"/>
    <n v="4"/>
    <n v="80"/>
    <x v="1"/>
    <n v="31"/>
    <x v="1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x v="1"/>
    <n v="11"/>
    <x v="0"/>
    <n v="3"/>
    <n v="80"/>
    <x v="3"/>
    <n v="13"/>
    <x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x v="0"/>
    <n v="11"/>
    <x v="0"/>
    <n v="3"/>
    <n v="80"/>
    <x v="1"/>
    <n v="7"/>
    <x v="5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x v="0"/>
    <n v="24"/>
    <x v="1"/>
    <n v="3"/>
    <n v="80"/>
    <x v="0"/>
    <n v="1"/>
    <x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x v="1"/>
    <n v="14"/>
    <x v="0"/>
    <n v="3"/>
    <n v="80"/>
    <x v="2"/>
    <n v="8"/>
    <x v="3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x v="0"/>
    <n v="13"/>
    <x v="0"/>
    <n v="4"/>
    <n v="80"/>
    <x v="0"/>
    <n v="8"/>
    <x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x v="1"/>
    <n v="14"/>
    <x v="0"/>
    <n v="2"/>
    <n v="80"/>
    <x v="0"/>
    <n v="4"/>
    <x v="1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x v="0"/>
    <n v="14"/>
    <x v="0"/>
    <n v="4"/>
    <n v="80"/>
    <x v="1"/>
    <n v="3"/>
    <x v="1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x v="1"/>
    <n v="21"/>
    <x v="1"/>
    <n v="3"/>
    <n v="80"/>
    <x v="1"/>
    <n v="4"/>
    <x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x v="1"/>
    <n v="13"/>
    <x v="0"/>
    <n v="4"/>
    <n v="80"/>
    <x v="0"/>
    <n v="2"/>
    <x v="1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x v="1"/>
    <n v="19"/>
    <x v="0"/>
    <n v="1"/>
    <n v="80"/>
    <x v="0"/>
    <n v="1"/>
    <x v="1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x v="0"/>
    <n v="17"/>
    <x v="0"/>
    <n v="1"/>
    <n v="80"/>
    <x v="1"/>
    <n v="17"/>
    <x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x v="0"/>
    <n v="18"/>
    <x v="0"/>
    <n v="1"/>
    <n v="80"/>
    <x v="0"/>
    <n v="3"/>
    <x v="1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x v="0"/>
    <n v="19"/>
    <x v="0"/>
    <n v="1"/>
    <n v="80"/>
    <x v="1"/>
    <n v="4"/>
    <x v="1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x v="0"/>
    <n v="13"/>
    <x v="0"/>
    <n v="3"/>
    <n v="80"/>
    <x v="1"/>
    <n v="10"/>
    <x v="4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x v="1"/>
    <n v="18"/>
    <x v="0"/>
    <n v="2"/>
    <n v="80"/>
    <x v="1"/>
    <n v="6"/>
    <x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x v="0"/>
    <n v="21"/>
    <x v="1"/>
    <n v="4"/>
    <n v="80"/>
    <x v="0"/>
    <n v="8"/>
    <x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x v="1"/>
    <n v="19"/>
    <x v="0"/>
    <n v="3"/>
    <n v="80"/>
    <x v="0"/>
    <n v="1"/>
    <x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x v="1"/>
    <n v="14"/>
    <x v="0"/>
    <n v="2"/>
    <n v="80"/>
    <x v="3"/>
    <n v="1"/>
    <x v="1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x v="1"/>
    <n v="17"/>
    <x v="0"/>
    <n v="1"/>
    <n v="80"/>
    <x v="0"/>
    <n v="10"/>
    <x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x v="0"/>
    <n v="11"/>
    <x v="0"/>
    <n v="2"/>
    <n v="80"/>
    <x v="0"/>
    <n v="6"/>
    <x v="4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x v="0"/>
    <n v="13"/>
    <x v="0"/>
    <n v="4"/>
    <n v="80"/>
    <x v="1"/>
    <n v="24"/>
    <x v="1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x v="1"/>
    <n v="15"/>
    <x v="0"/>
    <n v="2"/>
    <n v="80"/>
    <x v="0"/>
    <n v="13"/>
    <x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x v="0"/>
    <n v="25"/>
    <x v="1"/>
    <n v="4"/>
    <n v="80"/>
    <x v="1"/>
    <n v="10"/>
    <x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x v="1"/>
    <n v="11"/>
    <x v="0"/>
    <n v="3"/>
    <n v="80"/>
    <x v="1"/>
    <n v="29"/>
    <x v="1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x v="1"/>
    <n v="17"/>
    <x v="0"/>
    <n v="1"/>
    <n v="80"/>
    <x v="3"/>
    <n v="13"/>
    <x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x v="1"/>
    <n v="13"/>
    <x v="0"/>
    <n v="4"/>
    <n v="80"/>
    <x v="1"/>
    <n v="9"/>
    <x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x v="1"/>
    <n v="18"/>
    <x v="0"/>
    <n v="3"/>
    <n v="80"/>
    <x v="0"/>
    <n v="8"/>
    <x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x v="1"/>
    <n v="13"/>
    <x v="0"/>
    <n v="2"/>
    <n v="80"/>
    <x v="1"/>
    <n v="15"/>
    <x v="1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x v="1"/>
    <n v="20"/>
    <x v="1"/>
    <n v="3"/>
    <n v="80"/>
    <x v="0"/>
    <n v="5"/>
    <x v="1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x v="0"/>
    <n v="18"/>
    <x v="0"/>
    <n v="3"/>
    <n v="80"/>
    <x v="2"/>
    <n v="1"/>
    <x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x v="1"/>
    <n v="12"/>
    <x v="0"/>
    <n v="2"/>
    <n v="80"/>
    <x v="1"/>
    <n v="11"/>
    <x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x v="1"/>
    <n v="12"/>
    <x v="0"/>
    <n v="2"/>
    <n v="80"/>
    <x v="0"/>
    <n v="7"/>
    <x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x v="0"/>
    <n v="13"/>
    <x v="0"/>
    <n v="3"/>
    <n v="80"/>
    <x v="0"/>
    <n v="20"/>
    <x v="1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x v="1"/>
    <n v="21"/>
    <x v="1"/>
    <n v="3"/>
    <n v="80"/>
    <x v="0"/>
    <n v="16"/>
    <x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x v="0"/>
    <n v="13"/>
    <x v="0"/>
    <n v="2"/>
    <n v="80"/>
    <x v="0"/>
    <n v="1"/>
    <x v="1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x v="1"/>
    <n v="19"/>
    <x v="0"/>
    <n v="2"/>
    <n v="80"/>
    <x v="0"/>
    <n v="1"/>
    <x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x v="0"/>
    <n v="11"/>
    <x v="0"/>
    <n v="3"/>
    <n v="80"/>
    <x v="3"/>
    <n v="10"/>
    <x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x v="0"/>
    <n v="14"/>
    <x v="0"/>
    <n v="4"/>
    <n v="80"/>
    <x v="1"/>
    <n v="3"/>
    <x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x v="1"/>
    <n v="12"/>
    <x v="0"/>
    <n v="3"/>
    <n v="80"/>
    <x v="1"/>
    <n v="8"/>
    <x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x v="0"/>
    <n v="11"/>
    <x v="0"/>
    <n v="1"/>
    <n v="80"/>
    <x v="1"/>
    <n v="16"/>
    <x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x v="1"/>
    <n v="14"/>
    <x v="0"/>
    <n v="1"/>
    <n v="80"/>
    <x v="0"/>
    <n v="6"/>
    <x v="1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x v="1"/>
    <n v="11"/>
    <x v="0"/>
    <n v="3"/>
    <n v="80"/>
    <x v="0"/>
    <n v="17"/>
    <x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x v="1"/>
    <n v="12"/>
    <x v="0"/>
    <n v="2"/>
    <n v="80"/>
    <x v="0"/>
    <n v="9"/>
    <x v="3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x v="1"/>
    <n v="15"/>
    <x v="0"/>
    <n v="2"/>
    <n v="80"/>
    <x v="1"/>
    <n v="3"/>
    <x v="3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x v="1"/>
    <n v="16"/>
    <x v="0"/>
    <n v="2"/>
    <n v="80"/>
    <x v="0"/>
    <n v="5"/>
    <x v="1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x v="1"/>
    <n v="15"/>
    <x v="0"/>
    <n v="2"/>
    <n v="80"/>
    <x v="1"/>
    <n v="26"/>
    <x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x v="1"/>
    <n v="24"/>
    <x v="1"/>
    <n v="1"/>
    <n v="80"/>
    <x v="0"/>
    <n v="7"/>
    <x v="5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x v="1"/>
    <n v="13"/>
    <x v="0"/>
    <n v="3"/>
    <n v="80"/>
    <x v="1"/>
    <n v="22"/>
    <x v="1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x v="1"/>
    <n v="11"/>
    <x v="0"/>
    <n v="1"/>
    <n v="80"/>
    <x v="1"/>
    <n v="10"/>
    <x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x v="0"/>
    <n v="13"/>
    <x v="0"/>
    <n v="2"/>
    <n v="80"/>
    <x v="0"/>
    <n v="6"/>
    <x v="4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x v="1"/>
    <n v="13"/>
    <x v="0"/>
    <n v="2"/>
    <n v="80"/>
    <x v="1"/>
    <n v="12"/>
    <x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x v="1"/>
    <n v="18"/>
    <x v="0"/>
    <n v="4"/>
    <n v="80"/>
    <x v="0"/>
    <n v="9"/>
    <x v="1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x v="0"/>
    <n v="16"/>
    <x v="0"/>
    <n v="4"/>
    <n v="80"/>
    <x v="0"/>
    <n v="22"/>
    <x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x v="0"/>
    <n v="19"/>
    <x v="0"/>
    <n v="3"/>
    <n v="80"/>
    <x v="0"/>
    <n v="20"/>
    <x v="1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x v="1"/>
    <n v="13"/>
    <x v="0"/>
    <n v="4"/>
    <n v="80"/>
    <x v="3"/>
    <n v="12"/>
    <x v="1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x v="0"/>
    <n v="22"/>
    <x v="1"/>
    <n v="1"/>
    <n v="80"/>
    <x v="0"/>
    <n v="4"/>
    <x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x v="1"/>
    <n v="11"/>
    <x v="0"/>
    <n v="4"/>
    <n v="80"/>
    <x v="0"/>
    <n v="10"/>
    <x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x v="0"/>
    <n v="20"/>
    <x v="1"/>
    <n v="3"/>
    <n v="80"/>
    <x v="0"/>
    <n v="3"/>
    <x v="3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x v="1"/>
    <n v="18"/>
    <x v="0"/>
    <n v="1"/>
    <n v="80"/>
    <x v="0"/>
    <n v="5"/>
    <x v="5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x v="1"/>
    <n v="14"/>
    <x v="0"/>
    <n v="4"/>
    <n v="80"/>
    <x v="3"/>
    <n v="8"/>
    <x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x v="1"/>
    <n v="22"/>
    <x v="1"/>
    <n v="3"/>
    <n v="80"/>
    <x v="1"/>
    <n v="32"/>
    <x v="4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x v="0"/>
    <n v="13"/>
    <x v="0"/>
    <n v="1"/>
    <n v="80"/>
    <x v="1"/>
    <n v="6"/>
    <x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x v="1"/>
    <n v="17"/>
    <x v="0"/>
    <n v="2"/>
    <n v="80"/>
    <x v="1"/>
    <n v="21"/>
    <x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x v="1"/>
    <n v="14"/>
    <x v="0"/>
    <n v="2"/>
    <n v="80"/>
    <x v="1"/>
    <n v="4"/>
    <x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x v="0"/>
    <n v="15"/>
    <x v="0"/>
    <n v="3"/>
    <n v="80"/>
    <x v="1"/>
    <n v="9"/>
    <x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x v="0"/>
    <n v="17"/>
    <x v="0"/>
    <n v="3"/>
    <n v="80"/>
    <x v="0"/>
    <n v="9"/>
    <x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x v="0"/>
    <n v="11"/>
    <x v="0"/>
    <n v="2"/>
    <n v="80"/>
    <x v="0"/>
    <n v="7"/>
    <x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x v="0"/>
    <n v="18"/>
    <x v="0"/>
    <n v="4"/>
    <n v="80"/>
    <x v="1"/>
    <n v="22"/>
    <x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x v="1"/>
    <n v="17"/>
    <x v="0"/>
    <n v="2"/>
    <n v="80"/>
    <x v="1"/>
    <n v="3"/>
    <x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x v="1"/>
    <n v="13"/>
    <x v="0"/>
    <n v="2"/>
    <n v="80"/>
    <x v="1"/>
    <n v="13"/>
    <x v="1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x v="1"/>
    <n v="15"/>
    <x v="0"/>
    <n v="2"/>
    <n v="80"/>
    <x v="3"/>
    <n v="5"/>
    <x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x v="0"/>
    <n v="24"/>
    <x v="1"/>
    <n v="4"/>
    <n v="80"/>
    <x v="1"/>
    <n v="5"/>
    <x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x v="1"/>
    <n v="12"/>
    <x v="0"/>
    <n v="3"/>
    <n v="80"/>
    <x v="1"/>
    <n v="4"/>
    <x v="4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x v="1"/>
    <n v="15"/>
    <x v="0"/>
    <n v="4"/>
    <n v="80"/>
    <x v="0"/>
    <n v="0"/>
    <x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x v="1"/>
    <n v="11"/>
    <x v="0"/>
    <n v="3"/>
    <n v="80"/>
    <x v="1"/>
    <n v="22"/>
    <x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x v="0"/>
    <n v="11"/>
    <x v="0"/>
    <n v="3"/>
    <n v="80"/>
    <x v="1"/>
    <n v="16"/>
    <x v="1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x v="0"/>
    <n v="12"/>
    <x v="0"/>
    <n v="3"/>
    <n v="80"/>
    <x v="2"/>
    <n v="9"/>
    <x v="5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x v="0"/>
    <n v="15"/>
    <x v="0"/>
    <n v="1"/>
    <n v="80"/>
    <x v="0"/>
    <n v="1"/>
    <x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x v="1"/>
    <n v="17"/>
    <x v="0"/>
    <n v="1"/>
    <n v="80"/>
    <x v="0"/>
    <n v="4"/>
    <x v="1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x v="1"/>
    <n v="12"/>
    <x v="0"/>
    <n v="2"/>
    <n v="80"/>
    <x v="0"/>
    <n v="8"/>
    <x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x v="1"/>
    <n v="15"/>
    <x v="0"/>
    <n v="1"/>
    <n v="80"/>
    <x v="1"/>
    <n v="4"/>
    <x v="1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x v="1"/>
    <n v="13"/>
    <x v="0"/>
    <n v="4"/>
    <n v="80"/>
    <x v="0"/>
    <n v="19"/>
    <x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x v="1"/>
    <n v="14"/>
    <x v="0"/>
    <n v="2"/>
    <n v="80"/>
    <x v="0"/>
    <n v="27"/>
    <x v="1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x v="1"/>
    <n v="14"/>
    <x v="0"/>
    <n v="2"/>
    <n v="80"/>
    <x v="0"/>
    <n v="8"/>
    <x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x v="1"/>
    <n v="16"/>
    <x v="0"/>
    <n v="3"/>
    <n v="80"/>
    <x v="1"/>
    <n v="21"/>
    <x v="1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x v="1"/>
    <n v="18"/>
    <x v="0"/>
    <n v="2"/>
    <n v="80"/>
    <x v="1"/>
    <n v="4"/>
    <x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x v="1"/>
    <n v="20"/>
    <x v="1"/>
    <n v="1"/>
    <n v="80"/>
    <x v="1"/>
    <n v="3"/>
    <x v="5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x v="1"/>
    <n v="13"/>
    <x v="0"/>
    <n v="2"/>
    <n v="80"/>
    <x v="0"/>
    <n v="21"/>
    <x v="1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x v="1"/>
    <n v="18"/>
    <x v="0"/>
    <n v="2"/>
    <n v="80"/>
    <x v="0"/>
    <n v="8"/>
    <x v="3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x v="0"/>
    <n v="13"/>
    <x v="0"/>
    <n v="1"/>
    <n v="80"/>
    <x v="0"/>
    <n v="30"/>
    <x v="5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x v="1"/>
    <n v="15"/>
    <x v="0"/>
    <n v="1"/>
    <n v="80"/>
    <x v="0"/>
    <n v="15"/>
    <x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x v="0"/>
    <n v="14"/>
    <x v="0"/>
    <n v="4"/>
    <n v="80"/>
    <x v="3"/>
    <n v="17"/>
    <x v="1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x v="1"/>
    <n v="22"/>
    <x v="1"/>
    <n v="2"/>
    <n v="80"/>
    <x v="3"/>
    <n v="21"/>
    <x v="1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x v="0"/>
    <n v="12"/>
    <x v="0"/>
    <n v="3"/>
    <n v="80"/>
    <x v="0"/>
    <n v="19"/>
    <x v="4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x v="1"/>
    <n v="18"/>
    <x v="0"/>
    <n v="4"/>
    <n v="80"/>
    <x v="0"/>
    <n v="7"/>
    <x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x v="1"/>
    <n v="15"/>
    <x v="0"/>
    <n v="4"/>
    <n v="80"/>
    <x v="1"/>
    <n v="33"/>
    <x v="1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x v="0"/>
    <n v="18"/>
    <x v="0"/>
    <n v="3"/>
    <n v="80"/>
    <x v="1"/>
    <n v="23"/>
    <x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x v="1"/>
    <n v="12"/>
    <x v="0"/>
    <n v="1"/>
    <n v="80"/>
    <x v="1"/>
    <n v="19"/>
    <x v="1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x v="1"/>
    <n v="16"/>
    <x v="0"/>
    <n v="3"/>
    <n v="80"/>
    <x v="0"/>
    <n v="18"/>
    <x v="4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x v="0"/>
    <n v="13"/>
    <x v="0"/>
    <n v="3"/>
    <n v="80"/>
    <x v="0"/>
    <n v="21"/>
    <x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x v="1"/>
    <n v="19"/>
    <x v="0"/>
    <n v="4"/>
    <n v="80"/>
    <x v="0"/>
    <n v="3"/>
    <x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x v="1"/>
    <n v="13"/>
    <x v="0"/>
    <n v="2"/>
    <n v="80"/>
    <x v="1"/>
    <n v="26"/>
    <x v="5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x v="1"/>
    <n v="12"/>
    <x v="0"/>
    <n v="2"/>
    <n v="80"/>
    <x v="0"/>
    <n v="10"/>
    <x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x v="1"/>
    <n v="11"/>
    <x v="0"/>
    <n v="4"/>
    <n v="80"/>
    <x v="1"/>
    <n v="16"/>
    <x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x v="0"/>
    <n v="14"/>
    <x v="0"/>
    <n v="3"/>
    <n v="80"/>
    <x v="1"/>
    <n v="14"/>
    <x v="4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x v="1"/>
    <n v="16"/>
    <x v="0"/>
    <n v="1"/>
    <n v="80"/>
    <x v="0"/>
    <n v="6"/>
    <x v="1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x v="1"/>
    <n v="12"/>
    <x v="0"/>
    <n v="1"/>
    <n v="80"/>
    <x v="1"/>
    <n v="30"/>
    <x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x v="1"/>
    <n v="14"/>
    <x v="0"/>
    <n v="2"/>
    <n v="80"/>
    <x v="1"/>
    <n v="9"/>
    <x v="1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x v="0"/>
    <n v="14"/>
    <x v="0"/>
    <n v="2"/>
    <n v="80"/>
    <x v="1"/>
    <n v="6"/>
    <x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x v="0"/>
    <n v="19"/>
    <x v="0"/>
    <n v="4"/>
    <n v="80"/>
    <x v="1"/>
    <n v="1"/>
    <x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x v="1"/>
    <n v="22"/>
    <x v="1"/>
    <n v="2"/>
    <n v="80"/>
    <x v="0"/>
    <n v="1"/>
    <x v="3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x v="1"/>
    <n v="16"/>
    <x v="0"/>
    <n v="1"/>
    <n v="80"/>
    <x v="1"/>
    <n v="8"/>
    <x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x v="0"/>
    <n v="11"/>
    <x v="0"/>
    <n v="4"/>
    <n v="80"/>
    <x v="1"/>
    <n v="29"/>
    <x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x v="1"/>
    <n v="15"/>
    <x v="0"/>
    <n v="1"/>
    <n v="80"/>
    <x v="0"/>
    <n v="8"/>
    <x v="1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x v="1"/>
    <n v="14"/>
    <x v="0"/>
    <n v="2"/>
    <n v="80"/>
    <x v="1"/>
    <n v="8"/>
    <x v="1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x v="1"/>
    <n v="13"/>
    <x v="0"/>
    <n v="3"/>
    <n v="80"/>
    <x v="3"/>
    <n v="5"/>
    <x v="3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x v="1"/>
    <n v="17"/>
    <x v="0"/>
    <n v="4"/>
    <n v="80"/>
    <x v="3"/>
    <n v="23"/>
    <x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x v="1"/>
    <n v="11"/>
    <x v="0"/>
    <n v="2"/>
    <n v="80"/>
    <x v="1"/>
    <n v="13"/>
    <x v="5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x v="1"/>
    <n v="19"/>
    <x v="0"/>
    <n v="2"/>
    <n v="80"/>
    <x v="1"/>
    <n v="18"/>
    <x v="5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x v="1"/>
    <n v="11"/>
    <x v="0"/>
    <n v="2"/>
    <n v="80"/>
    <x v="0"/>
    <n v="15"/>
    <x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x v="1"/>
    <n v="15"/>
    <x v="0"/>
    <n v="2"/>
    <n v="80"/>
    <x v="0"/>
    <n v="31"/>
    <x v="1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x v="1"/>
    <n v="13"/>
    <x v="0"/>
    <n v="3"/>
    <n v="80"/>
    <x v="1"/>
    <n v="18"/>
    <x v="3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x v="0"/>
    <n v="14"/>
    <x v="0"/>
    <n v="2"/>
    <n v="80"/>
    <x v="0"/>
    <n v="2"/>
    <x v="1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x v="1"/>
    <n v="13"/>
    <x v="0"/>
    <n v="1"/>
    <n v="80"/>
    <x v="0"/>
    <n v="1"/>
    <x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x v="0"/>
    <n v="23"/>
    <x v="1"/>
    <n v="1"/>
    <n v="80"/>
    <x v="2"/>
    <n v="19"/>
    <x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x v="0"/>
    <n v="12"/>
    <x v="0"/>
    <n v="3"/>
    <n v="80"/>
    <x v="2"/>
    <n v="18"/>
    <x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x v="1"/>
    <n v="12"/>
    <x v="0"/>
    <n v="1"/>
    <n v="80"/>
    <x v="0"/>
    <n v="10"/>
    <x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x v="1"/>
    <n v="16"/>
    <x v="0"/>
    <n v="1"/>
    <n v="80"/>
    <x v="3"/>
    <n v="6"/>
    <x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x v="1"/>
    <n v="15"/>
    <x v="0"/>
    <n v="3"/>
    <n v="80"/>
    <x v="1"/>
    <n v="7"/>
    <x v="4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x v="1"/>
    <n v="13"/>
    <x v="0"/>
    <n v="3"/>
    <n v="80"/>
    <x v="0"/>
    <n v="10"/>
    <x v="1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x v="1"/>
    <n v="18"/>
    <x v="0"/>
    <n v="1"/>
    <n v="80"/>
    <x v="1"/>
    <n v="20"/>
    <x v="5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x v="1"/>
    <n v="20"/>
    <x v="1"/>
    <n v="4"/>
    <n v="80"/>
    <x v="1"/>
    <n v="14"/>
    <x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x v="1"/>
    <n v="19"/>
    <x v="0"/>
    <n v="4"/>
    <n v="80"/>
    <x v="2"/>
    <n v="3"/>
    <x v="5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x v="1"/>
    <n v="18"/>
    <x v="0"/>
    <n v="2"/>
    <n v="80"/>
    <x v="1"/>
    <n v="23"/>
    <x v="5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x v="1"/>
    <n v="13"/>
    <x v="0"/>
    <n v="4"/>
    <n v="80"/>
    <x v="0"/>
    <n v="10"/>
    <x v="5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x v="1"/>
    <n v="14"/>
    <x v="0"/>
    <n v="4"/>
    <n v="80"/>
    <x v="1"/>
    <n v="24"/>
    <x v="4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x v="1"/>
    <n v="15"/>
    <x v="0"/>
    <n v="3"/>
    <n v="80"/>
    <x v="1"/>
    <n v="9"/>
    <x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x v="0"/>
    <n v="22"/>
    <x v="1"/>
    <n v="1"/>
    <n v="80"/>
    <x v="0"/>
    <n v="9"/>
    <x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x v="1"/>
    <n v="22"/>
    <x v="1"/>
    <n v="2"/>
    <n v="80"/>
    <x v="0"/>
    <n v="14"/>
    <x v="5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x v="1"/>
    <n v="16"/>
    <x v="0"/>
    <n v="4"/>
    <n v="80"/>
    <x v="1"/>
    <n v="4"/>
    <x v="3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x v="1"/>
    <n v="17"/>
    <x v="0"/>
    <n v="3"/>
    <n v="80"/>
    <x v="0"/>
    <n v="7"/>
    <x v="4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x v="0"/>
    <n v="14"/>
    <x v="0"/>
    <n v="3"/>
    <n v="80"/>
    <x v="2"/>
    <n v="8"/>
    <x v="3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x v="0"/>
    <n v="15"/>
    <x v="0"/>
    <n v="2"/>
    <n v="80"/>
    <x v="1"/>
    <n v="7"/>
    <x v="1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x v="1"/>
    <n v="20"/>
    <x v="1"/>
    <n v="3"/>
    <n v="80"/>
    <x v="1"/>
    <n v="1"/>
    <x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x v="0"/>
    <n v="20"/>
    <x v="1"/>
    <n v="2"/>
    <n v="80"/>
    <x v="0"/>
    <n v="5"/>
    <x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x v="1"/>
    <n v="17"/>
    <x v="0"/>
    <n v="4"/>
    <n v="80"/>
    <x v="1"/>
    <n v="23"/>
    <x v="1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x v="1"/>
    <n v="15"/>
    <x v="0"/>
    <n v="1"/>
    <n v="80"/>
    <x v="3"/>
    <n v="1"/>
    <x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x v="0"/>
    <n v="14"/>
    <x v="0"/>
    <n v="4"/>
    <n v="80"/>
    <x v="0"/>
    <n v="5"/>
    <x v="5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x v="1"/>
    <n v="17"/>
    <x v="0"/>
    <n v="3"/>
    <n v="80"/>
    <x v="1"/>
    <n v="4"/>
    <x v="1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x v="1"/>
    <n v="17"/>
    <x v="0"/>
    <n v="4"/>
    <n v="80"/>
    <x v="2"/>
    <n v="6"/>
    <x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x v="1"/>
    <n v="22"/>
    <x v="1"/>
    <n v="3"/>
    <n v="80"/>
    <x v="0"/>
    <n v="27"/>
    <x v="1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x v="1"/>
    <n v="13"/>
    <x v="0"/>
    <n v="4"/>
    <n v="80"/>
    <x v="1"/>
    <n v="15"/>
    <x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x v="1"/>
    <n v="19"/>
    <x v="0"/>
    <n v="4"/>
    <n v="80"/>
    <x v="0"/>
    <n v="18"/>
    <x v="5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x v="0"/>
    <n v="14"/>
    <x v="0"/>
    <n v="2"/>
    <n v="80"/>
    <x v="3"/>
    <n v="9"/>
    <x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x v="1"/>
    <n v="22"/>
    <x v="1"/>
    <n v="1"/>
    <n v="80"/>
    <x v="1"/>
    <n v="11"/>
    <x v="4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x v="1"/>
    <n v="17"/>
    <x v="0"/>
    <n v="2"/>
    <n v="80"/>
    <x v="2"/>
    <n v="10"/>
    <x v="1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x v="1"/>
    <n v="12"/>
    <x v="0"/>
    <n v="4"/>
    <n v="80"/>
    <x v="1"/>
    <n v="23"/>
    <x v="1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x v="1"/>
    <n v="16"/>
    <x v="0"/>
    <n v="3"/>
    <n v="80"/>
    <x v="0"/>
    <n v="10"/>
    <x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x v="1"/>
    <n v="11"/>
    <x v="0"/>
    <n v="3"/>
    <n v="80"/>
    <x v="1"/>
    <n v="18"/>
    <x v="4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x v="1"/>
    <n v="11"/>
    <x v="0"/>
    <n v="4"/>
    <n v="80"/>
    <x v="2"/>
    <n v="21"/>
    <x v="5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x v="1"/>
    <n v="14"/>
    <x v="0"/>
    <n v="1"/>
    <n v="80"/>
    <x v="0"/>
    <n v="21"/>
    <x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x v="0"/>
    <n v="11"/>
    <x v="0"/>
    <n v="3"/>
    <n v="80"/>
    <x v="0"/>
    <n v="2"/>
    <x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x v="1"/>
    <n v="15"/>
    <x v="0"/>
    <n v="3"/>
    <n v="80"/>
    <x v="0"/>
    <n v="9"/>
    <x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x v="1"/>
    <n v="20"/>
    <x v="1"/>
    <n v="1"/>
    <n v="80"/>
    <x v="0"/>
    <n v="18"/>
    <x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x v="1"/>
    <n v="12"/>
    <x v="0"/>
    <n v="1"/>
    <n v="80"/>
    <x v="1"/>
    <n v="3"/>
    <x v="5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x v="1"/>
    <n v="17"/>
    <x v="0"/>
    <n v="1"/>
    <n v="80"/>
    <x v="0"/>
    <n v="6"/>
    <x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x v="1"/>
    <n v="11"/>
    <x v="0"/>
    <n v="4"/>
    <n v="80"/>
    <x v="1"/>
    <n v="5"/>
    <x v="1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x v="1"/>
    <n v="17"/>
    <x v="0"/>
    <n v="2"/>
    <n v="80"/>
    <x v="1"/>
    <n v="22"/>
    <x v="1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x v="1"/>
    <n v="11"/>
    <x v="0"/>
    <n v="4"/>
    <n v="80"/>
    <x v="0"/>
    <n v="5"/>
    <x v="1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x v="1"/>
    <n v="14"/>
    <x v="0"/>
    <n v="4"/>
    <n v="80"/>
    <x v="3"/>
    <n v="8"/>
    <x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x v="1"/>
    <n v="19"/>
    <x v="0"/>
    <n v="1"/>
    <n v="80"/>
    <x v="0"/>
    <n v="16"/>
    <x v="1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x v="0"/>
    <n v="15"/>
    <x v="0"/>
    <n v="3"/>
    <n v="80"/>
    <x v="1"/>
    <n v="10"/>
    <x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x v="1"/>
    <n v="13"/>
    <x v="0"/>
    <n v="4"/>
    <n v="80"/>
    <x v="1"/>
    <n v="7"/>
    <x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x v="0"/>
    <n v="14"/>
    <x v="0"/>
    <n v="4"/>
    <n v="80"/>
    <x v="1"/>
    <n v="3"/>
    <x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x v="1"/>
    <n v="12"/>
    <x v="0"/>
    <n v="4"/>
    <n v="80"/>
    <x v="0"/>
    <n v="0"/>
    <x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x v="0"/>
    <n v="17"/>
    <x v="0"/>
    <n v="1"/>
    <n v="80"/>
    <x v="0"/>
    <n v="6"/>
    <x v="1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x v="0"/>
    <n v="11"/>
    <x v="0"/>
    <n v="1"/>
    <n v="80"/>
    <x v="1"/>
    <n v="6"/>
    <x v="5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x v="1"/>
    <n v="12"/>
    <x v="0"/>
    <n v="3"/>
    <n v="80"/>
    <x v="1"/>
    <n v="2"/>
    <x v="3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x v="1"/>
    <n v="13"/>
    <x v="0"/>
    <n v="3"/>
    <n v="80"/>
    <x v="3"/>
    <n v="9"/>
    <x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x v="1"/>
    <n v="13"/>
    <x v="0"/>
    <n v="3"/>
    <n v="80"/>
    <x v="1"/>
    <n v="4"/>
    <x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x v="1"/>
    <n v="20"/>
    <x v="1"/>
    <n v="1"/>
    <n v="80"/>
    <x v="0"/>
    <n v="6"/>
    <x v="1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x v="1"/>
    <n v="17"/>
    <x v="0"/>
    <n v="2"/>
    <n v="80"/>
    <x v="0"/>
    <n v="6"/>
    <x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x v="1"/>
    <n v="13"/>
    <x v="0"/>
    <n v="1"/>
    <n v="80"/>
    <x v="1"/>
    <n v="11"/>
    <x v="1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x v="1"/>
    <n v="17"/>
    <x v="0"/>
    <n v="3"/>
    <n v="80"/>
    <x v="0"/>
    <n v="20"/>
    <x v="1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x v="0"/>
    <n v="12"/>
    <x v="0"/>
    <n v="2"/>
    <n v="80"/>
    <x v="0"/>
    <n v="22"/>
    <x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x v="1"/>
    <n v="13"/>
    <x v="0"/>
    <n v="4"/>
    <n v="80"/>
    <x v="0"/>
    <n v="9"/>
    <x v="1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x v="1"/>
    <n v="12"/>
    <x v="0"/>
    <n v="2"/>
    <n v="80"/>
    <x v="1"/>
    <n v="10"/>
    <x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x v="1"/>
    <n v="22"/>
    <x v="1"/>
    <n v="4"/>
    <n v="80"/>
    <x v="0"/>
    <n v="6"/>
    <x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x v="0"/>
    <n v="11"/>
    <x v="0"/>
    <n v="4"/>
    <n v="80"/>
    <x v="0"/>
    <n v="1"/>
    <x v="5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x v="1"/>
    <n v="22"/>
    <x v="1"/>
    <n v="2"/>
    <n v="80"/>
    <x v="1"/>
    <n v="8"/>
    <x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x v="1"/>
    <n v="18"/>
    <x v="0"/>
    <n v="1"/>
    <n v="80"/>
    <x v="1"/>
    <n v="10"/>
    <x v="1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x v="0"/>
    <n v="13"/>
    <x v="0"/>
    <n v="4"/>
    <n v="80"/>
    <x v="1"/>
    <n v="16"/>
    <x v="1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x v="1"/>
    <n v="18"/>
    <x v="0"/>
    <n v="2"/>
    <n v="80"/>
    <x v="1"/>
    <n v="15"/>
    <x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x v="1"/>
    <n v="20"/>
    <x v="1"/>
    <n v="3"/>
    <n v="80"/>
    <x v="0"/>
    <n v="14"/>
    <x v="1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x v="1"/>
    <n v="13"/>
    <x v="0"/>
    <n v="2"/>
    <n v="80"/>
    <x v="1"/>
    <n v="2"/>
    <x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x v="1"/>
    <n v="13"/>
    <x v="0"/>
    <n v="2"/>
    <n v="80"/>
    <x v="0"/>
    <n v="7"/>
    <x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x v="1"/>
    <n v="12"/>
    <x v="0"/>
    <n v="3"/>
    <n v="80"/>
    <x v="2"/>
    <n v="1"/>
    <x v="1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x v="1"/>
    <n v="13"/>
    <x v="0"/>
    <n v="4"/>
    <n v="80"/>
    <x v="1"/>
    <n v="28"/>
    <x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x v="1"/>
    <n v="13"/>
    <x v="0"/>
    <n v="1"/>
    <n v="80"/>
    <x v="1"/>
    <n v="10"/>
    <x v="3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x v="1"/>
    <n v="25"/>
    <x v="1"/>
    <n v="3"/>
    <n v="80"/>
    <x v="0"/>
    <n v="1"/>
    <x v="5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x v="0"/>
    <n v="19"/>
    <x v="0"/>
    <n v="3"/>
    <n v="80"/>
    <x v="1"/>
    <n v="7"/>
    <x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x v="1"/>
    <n v="13"/>
    <x v="0"/>
    <n v="2"/>
    <n v="80"/>
    <x v="1"/>
    <n v="14"/>
    <x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x v="1"/>
    <n v="12"/>
    <x v="0"/>
    <n v="1"/>
    <n v="80"/>
    <x v="0"/>
    <n v="2"/>
    <x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x v="0"/>
    <n v="11"/>
    <x v="0"/>
    <n v="3"/>
    <n v="80"/>
    <x v="0"/>
    <n v="6"/>
    <x v="5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x v="1"/>
    <n v="18"/>
    <x v="0"/>
    <n v="2"/>
    <n v="80"/>
    <x v="1"/>
    <n v="26"/>
    <x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x v="0"/>
    <n v="18"/>
    <x v="0"/>
    <n v="1"/>
    <n v="80"/>
    <x v="1"/>
    <n v="6"/>
    <x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x v="0"/>
    <n v="11"/>
    <x v="0"/>
    <n v="2"/>
    <n v="80"/>
    <x v="1"/>
    <n v="1"/>
    <x v="3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x v="1"/>
    <n v="23"/>
    <x v="1"/>
    <n v="1"/>
    <n v="80"/>
    <x v="0"/>
    <n v="28"/>
    <x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x v="1"/>
    <n v="13"/>
    <x v="0"/>
    <n v="4"/>
    <n v="80"/>
    <x v="0"/>
    <n v="6"/>
    <x v="1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x v="1"/>
    <n v="13"/>
    <x v="0"/>
    <n v="4"/>
    <n v="80"/>
    <x v="1"/>
    <n v="5"/>
    <x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x v="1"/>
    <n v="17"/>
    <x v="0"/>
    <n v="1"/>
    <n v="80"/>
    <x v="1"/>
    <n v="5"/>
    <x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x v="1"/>
    <n v="19"/>
    <x v="0"/>
    <n v="3"/>
    <n v="80"/>
    <x v="2"/>
    <n v="8"/>
    <x v="1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x v="1"/>
    <n v="12"/>
    <x v="0"/>
    <n v="4"/>
    <n v="80"/>
    <x v="2"/>
    <n v="5"/>
    <x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x v="1"/>
    <n v="22"/>
    <x v="1"/>
    <n v="3"/>
    <n v="80"/>
    <x v="1"/>
    <n v="32"/>
    <x v="1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x v="1"/>
    <n v="12"/>
    <x v="0"/>
    <n v="3"/>
    <n v="80"/>
    <x v="2"/>
    <n v="6"/>
    <x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x v="1"/>
    <n v="11"/>
    <x v="0"/>
    <n v="1"/>
    <n v="80"/>
    <x v="1"/>
    <n v="25"/>
    <x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x v="0"/>
    <n v="15"/>
    <x v="0"/>
    <n v="4"/>
    <n v="80"/>
    <x v="2"/>
    <n v="15"/>
    <x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x v="1"/>
    <n v="13"/>
    <x v="0"/>
    <n v="1"/>
    <n v="80"/>
    <x v="1"/>
    <n v="1"/>
    <x v="1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x v="1"/>
    <n v="12"/>
    <x v="0"/>
    <n v="1"/>
    <n v="80"/>
    <x v="1"/>
    <n v="10"/>
    <x v="1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x v="1"/>
    <n v="14"/>
    <x v="0"/>
    <n v="3"/>
    <n v="80"/>
    <x v="1"/>
    <n v="7"/>
    <x v="5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x v="1"/>
    <n v="13"/>
    <x v="0"/>
    <n v="1"/>
    <n v="80"/>
    <x v="2"/>
    <n v="10"/>
    <x v="5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x v="1"/>
    <n v="25"/>
    <x v="1"/>
    <n v="2"/>
    <n v="80"/>
    <x v="0"/>
    <n v="20"/>
    <x v="1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x v="1"/>
    <n v="17"/>
    <x v="0"/>
    <n v="4"/>
    <n v="80"/>
    <x v="0"/>
    <n v="2"/>
    <x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x v="1"/>
    <n v="11"/>
    <x v="0"/>
    <n v="3"/>
    <n v="80"/>
    <x v="1"/>
    <n v="12"/>
    <x v="1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x v="1"/>
    <n v="16"/>
    <x v="0"/>
    <n v="1"/>
    <n v="80"/>
    <x v="1"/>
    <n v="10"/>
    <x v="1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x v="0"/>
    <n v="18"/>
    <x v="0"/>
    <n v="2"/>
    <n v="80"/>
    <x v="1"/>
    <n v="12"/>
    <x v="1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x v="1"/>
    <n v="20"/>
    <x v="1"/>
    <n v="3"/>
    <n v="80"/>
    <x v="1"/>
    <n v="2"/>
    <x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x v="0"/>
    <n v="14"/>
    <x v="0"/>
    <n v="4"/>
    <n v="80"/>
    <x v="0"/>
    <n v="10"/>
    <x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x v="0"/>
    <n v="21"/>
    <x v="1"/>
    <n v="3"/>
    <n v="80"/>
    <x v="1"/>
    <n v="17"/>
    <x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x v="1"/>
    <n v="13"/>
    <x v="0"/>
    <n v="2"/>
    <n v="80"/>
    <x v="1"/>
    <n v="15"/>
    <x v="3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x v="1"/>
    <n v="12"/>
    <x v="0"/>
    <n v="2"/>
    <n v="80"/>
    <x v="1"/>
    <n v="7"/>
    <x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x v="1"/>
    <n v="14"/>
    <x v="0"/>
    <n v="2"/>
    <n v="80"/>
    <x v="0"/>
    <n v="5"/>
    <x v="5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x v="0"/>
    <n v="21"/>
    <x v="1"/>
    <n v="1"/>
    <n v="80"/>
    <x v="1"/>
    <n v="12"/>
    <x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x v="0"/>
    <n v="17"/>
    <x v="0"/>
    <n v="3"/>
    <n v="80"/>
    <x v="0"/>
    <n v="20"/>
    <x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x v="0"/>
    <n v="11"/>
    <x v="0"/>
    <n v="2"/>
    <n v="80"/>
    <x v="1"/>
    <n v="16"/>
    <x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x v="0"/>
    <n v="14"/>
    <x v="0"/>
    <n v="4"/>
    <n v="80"/>
    <x v="3"/>
    <n v="9"/>
    <x v="1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x v="1"/>
    <n v="17"/>
    <x v="0"/>
    <n v="1"/>
    <n v="80"/>
    <x v="1"/>
    <n v="33"/>
    <x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x v="1"/>
    <n v="13"/>
    <x v="0"/>
    <n v="4"/>
    <n v="80"/>
    <x v="1"/>
    <n v="10"/>
    <x v="3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x v="0"/>
    <n v="25"/>
    <x v="1"/>
    <n v="2"/>
    <n v="80"/>
    <x v="0"/>
    <n v="1"/>
    <x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x v="1"/>
    <n v="15"/>
    <x v="0"/>
    <n v="1"/>
    <n v="80"/>
    <x v="2"/>
    <n v="3"/>
    <x v="3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x v="1"/>
    <n v="14"/>
    <x v="0"/>
    <n v="1"/>
    <n v="80"/>
    <x v="0"/>
    <n v="36"/>
    <x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x v="0"/>
    <n v="12"/>
    <x v="0"/>
    <n v="4"/>
    <n v="80"/>
    <x v="0"/>
    <n v="6"/>
    <x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x v="1"/>
    <n v="19"/>
    <x v="0"/>
    <n v="2"/>
    <n v="80"/>
    <x v="0"/>
    <n v="10"/>
    <x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x v="1"/>
    <n v="17"/>
    <x v="0"/>
    <n v="4"/>
    <n v="80"/>
    <x v="0"/>
    <n v="13"/>
    <x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x v="1"/>
    <n v="14"/>
    <x v="0"/>
    <n v="2"/>
    <n v="80"/>
    <x v="1"/>
    <n v="25"/>
    <x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x v="1"/>
    <n v="13"/>
    <x v="0"/>
    <n v="3"/>
    <n v="80"/>
    <x v="1"/>
    <n v="23"/>
    <x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x v="1"/>
    <n v="12"/>
    <x v="0"/>
    <n v="3"/>
    <n v="80"/>
    <x v="0"/>
    <n v="12"/>
    <x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x v="1"/>
    <n v="11"/>
    <x v="0"/>
    <n v="3"/>
    <n v="80"/>
    <x v="0"/>
    <n v="7"/>
    <x v="5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x v="1"/>
    <n v="11"/>
    <x v="0"/>
    <n v="2"/>
    <n v="80"/>
    <x v="2"/>
    <n v="5"/>
    <x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x v="0"/>
    <n v="11"/>
    <x v="0"/>
    <n v="2"/>
    <n v="80"/>
    <x v="3"/>
    <n v="6"/>
    <x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x v="1"/>
    <n v="12"/>
    <x v="0"/>
    <n v="3"/>
    <n v="80"/>
    <x v="0"/>
    <n v="25"/>
    <x v="1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x v="1"/>
    <n v="14"/>
    <x v="0"/>
    <n v="2"/>
    <n v="80"/>
    <x v="3"/>
    <n v="9"/>
    <x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x v="1"/>
    <n v="17"/>
    <x v="0"/>
    <n v="4"/>
    <n v="80"/>
    <x v="0"/>
    <n v="2"/>
    <x v="3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x v="1"/>
    <n v="11"/>
    <x v="0"/>
    <n v="3"/>
    <n v="80"/>
    <x v="1"/>
    <n v="26"/>
    <x v="3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x v="0"/>
    <n v="14"/>
    <x v="0"/>
    <n v="4"/>
    <n v="80"/>
    <x v="3"/>
    <n v="10"/>
    <x v="1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x v="0"/>
    <n v="12"/>
    <x v="0"/>
    <n v="4"/>
    <n v="80"/>
    <x v="0"/>
    <n v="1"/>
    <x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x v="1"/>
    <n v="22"/>
    <x v="1"/>
    <n v="4"/>
    <n v="80"/>
    <x v="1"/>
    <n v="1"/>
    <x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x v="0"/>
    <n v="14"/>
    <x v="0"/>
    <n v="4"/>
    <n v="80"/>
    <x v="0"/>
    <n v="1"/>
    <x v="5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x v="0"/>
    <n v="20"/>
    <x v="1"/>
    <n v="2"/>
    <n v="80"/>
    <x v="0"/>
    <n v="8"/>
    <x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x v="0"/>
    <n v="16"/>
    <x v="0"/>
    <n v="1"/>
    <n v="80"/>
    <x v="0"/>
    <n v="26"/>
    <x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x v="0"/>
    <n v="15"/>
    <x v="0"/>
    <n v="4"/>
    <n v="80"/>
    <x v="1"/>
    <n v="34"/>
    <x v="1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x v="1"/>
    <n v="20"/>
    <x v="1"/>
    <n v="3"/>
    <n v="80"/>
    <x v="0"/>
    <n v="2"/>
    <x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x v="1"/>
    <n v="14"/>
    <x v="0"/>
    <n v="3"/>
    <n v="80"/>
    <x v="1"/>
    <n v="26"/>
    <x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x v="0"/>
    <n v="12"/>
    <x v="0"/>
    <n v="4"/>
    <n v="80"/>
    <x v="0"/>
    <n v="4"/>
    <x v="1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x v="0"/>
    <n v="24"/>
    <x v="1"/>
    <n v="1"/>
    <n v="80"/>
    <x v="1"/>
    <n v="31"/>
    <x v="3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x v="1"/>
    <n v="12"/>
    <x v="0"/>
    <n v="4"/>
    <n v="80"/>
    <x v="0"/>
    <n v="25"/>
    <x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x v="1"/>
    <n v="13"/>
    <x v="0"/>
    <n v="3"/>
    <n v="80"/>
    <x v="3"/>
    <n v="15"/>
    <x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x v="0"/>
    <n v="11"/>
    <x v="0"/>
    <n v="3"/>
    <n v="80"/>
    <x v="0"/>
    <n v="5"/>
    <x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x v="1"/>
    <n v="14"/>
    <x v="0"/>
    <n v="4"/>
    <n v="80"/>
    <x v="3"/>
    <n v="26"/>
    <x v="5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x v="1"/>
    <n v="11"/>
    <x v="0"/>
    <n v="4"/>
    <n v="80"/>
    <x v="3"/>
    <n v="14"/>
    <x v="3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x v="0"/>
    <n v="14"/>
    <x v="0"/>
    <n v="4"/>
    <n v="80"/>
    <x v="0"/>
    <n v="4"/>
    <x v="1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x v="0"/>
    <n v="16"/>
    <x v="0"/>
    <n v="4"/>
    <n v="80"/>
    <x v="0"/>
    <n v="18"/>
    <x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x v="1"/>
    <n v="14"/>
    <x v="0"/>
    <n v="4"/>
    <n v="80"/>
    <x v="0"/>
    <n v="23"/>
    <x v="1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x v="0"/>
    <n v="11"/>
    <x v="0"/>
    <n v="4"/>
    <n v="80"/>
    <x v="0"/>
    <n v="18"/>
    <x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x v="1"/>
    <n v="11"/>
    <x v="0"/>
    <n v="4"/>
    <n v="80"/>
    <x v="1"/>
    <n v="10"/>
    <x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x v="0"/>
    <n v="12"/>
    <x v="0"/>
    <n v="2"/>
    <n v="80"/>
    <x v="1"/>
    <n v="2"/>
    <x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x v="1"/>
    <n v="14"/>
    <x v="0"/>
    <n v="2"/>
    <n v="80"/>
    <x v="0"/>
    <n v="8"/>
    <x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x v="0"/>
    <n v="18"/>
    <x v="0"/>
    <n v="3"/>
    <n v="80"/>
    <x v="0"/>
    <n v="10"/>
    <x v="1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x v="0"/>
    <n v="13"/>
    <x v="0"/>
    <n v="1"/>
    <n v="80"/>
    <x v="3"/>
    <n v="10"/>
    <x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x v="1"/>
    <n v="11"/>
    <x v="0"/>
    <n v="2"/>
    <n v="80"/>
    <x v="0"/>
    <n v="5"/>
    <x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x v="1"/>
    <n v="18"/>
    <x v="0"/>
    <n v="4"/>
    <n v="80"/>
    <x v="0"/>
    <n v="2"/>
    <x v="1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x v="1"/>
    <n v="15"/>
    <x v="0"/>
    <n v="3"/>
    <n v="80"/>
    <x v="3"/>
    <n v="10"/>
    <x v="5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x v="1"/>
    <n v="22"/>
    <x v="1"/>
    <n v="3"/>
    <n v="80"/>
    <x v="0"/>
    <n v="22"/>
    <x v="5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x v="0"/>
    <n v="13"/>
    <x v="0"/>
    <n v="4"/>
    <n v="80"/>
    <x v="3"/>
    <n v="21"/>
    <x v="5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x v="1"/>
    <n v="12"/>
    <x v="0"/>
    <n v="4"/>
    <n v="80"/>
    <x v="3"/>
    <n v="2"/>
    <x v="1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x v="1"/>
    <n v="18"/>
    <x v="0"/>
    <n v="1"/>
    <n v="80"/>
    <x v="1"/>
    <n v="10"/>
    <x v="1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x v="1"/>
    <n v="13"/>
    <x v="0"/>
    <n v="1"/>
    <n v="80"/>
    <x v="0"/>
    <n v="6"/>
    <x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x v="1"/>
    <n v="12"/>
    <x v="0"/>
    <n v="1"/>
    <n v="80"/>
    <x v="1"/>
    <n v="10"/>
    <x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x v="1"/>
    <n v="12"/>
    <x v="0"/>
    <n v="1"/>
    <n v="80"/>
    <x v="0"/>
    <n v="10"/>
    <x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x v="1"/>
    <n v="12"/>
    <x v="0"/>
    <n v="3"/>
    <n v="80"/>
    <x v="0"/>
    <n v="10"/>
    <x v="1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x v="1"/>
    <n v="11"/>
    <x v="0"/>
    <n v="1"/>
    <n v="80"/>
    <x v="2"/>
    <n v="10"/>
    <x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x v="0"/>
    <n v="11"/>
    <x v="0"/>
    <n v="2"/>
    <n v="80"/>
    <x v="0"/>
    <n v="25"/>
    <x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x v="0"/>
    <n v="12"/>
    <x v="0"/>
    <n v="3"/>
    <n v="80"/>
    <x v="0"/>
    <n v="9"/>
    <x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x v="0"/>
    <n v="19"/>
    <x v="0"/>
    <n v="3"/>
    <n v="80"/>
    <x v="0"/>
    <n v="10"/>
    <x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x v="0"/>
    <n v="23"/>
    <x v="1"/>
    <n v="4"/>
    <n v="80"/>
    <x v="3"/>
    <n v="9"/>
    <x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x v="1"/>
    <n v="11"/>
    <x v="0"/>
    <n v="1"/>
    <n v="80"/>
    <x v="0"/>
    <n v="9"/>
    <x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x v="0"/>
    <n v="19"/>
    <x v="0"/>
    <n v="1"/>
    <n v="80"/>
    <x v="1"/>
    <n v="10"/>
    <x v="3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x v="1"/>
    <n v="13"/>
    <x v="0"/>
    <n v="1"/>
    <n v="80"/>
    <x v="0"/>
    <n v="19"/>
    <x v="5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x v="0"/>
    <n v="11"/>
    <x v="0"/>
    <n v="1"/>
    <n v="80"/>
    <x v="0"/>
    <n v="3"/>
    <x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x v="1"/>
    <n v="12"/>
    <x v="0"/>
    <n v="3"/>
    <n v="80"/>
    <x v="0"/>
    <n v="10"/>
    <x v="5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x v="0"/>
    <n v="13"/>
    <x v="0"/>
    <n v="4"/>
    <n v="80"/>
    <x v="0"/>
    <n v="21"/>
    <x v="1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x v="1"/>
    <n v="14"/>
    <x v="0"/>
    <n v="4"/>
    <n v="80"/>
    <x v="1"/>
    <n v="23"/>
    <x v="3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x v="1"/>
    <n v="14"/>
    <x v="0"/>
    <n v="1"/>
    <n v="80"/>
    <x v="0"/>
    <n v="36"/>
    <x v="5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x v="1"/>
    <n v="16"/>
    <x v="0"/>
    <n v="2"/>
    <n v="80"/>
    <x v="1"/>
    <n v="6"/>
    <x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x v="1"/>
    <n v="11"/>
    <x v="0"/>
    <n v="4"/>
    <n v="80"/>
    <x v="1"/>
    <n v="10"/>
    <x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x v="1"/>
    <n v="13"/>
    <x v="0"/>
    <n v="3"/>
    <n v="80"/>
    <x v="0"/>
    <n v="9"/>
    <x v="5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x v="1"/>
    <n v="17"/>
    <x v="0"/>
    <n v="4"/>
    <n v="80"/>
    <x v="1"/>
    <n v="10"/>
    <x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x v="0"/>
    <n v="11"/>
    <x v="0"/>
    <n v="2"/>
    <n v="80"/>
    <x v="0"/>
    <n v="9"/>
    <x v="1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x v="0"/>
    <n v="11"/>
    <x v="0"/>
    <n v="2"/>
    <n v="80"/>
    <x v="1"/>
    <n v="33"/>
    <x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x v="1"/>
    <n v="15"/>
    <x v="0"/>
    <n v="4"/>
    <n v="80"/>
    <x v="1"/>
    <n v="11"/>
    <x v="1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x v="1"/>
    <n v="12"/>
    <x v="0"/>
    <n v="4"/>
    <n v="80"/>
    <x v="0"/>
    <n v="10"/>
    <x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x v="1"/>
    <n v="11"/>
    <x v="0"/>
    <n v="3"/>
    <n v="80"/>
    <x v="2"/>
    <n v="7"/>
    <x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x v="0"/>
    <n v="14"/>
    <x v="0"/>
    <n v="4"/>
    <n v="80"/>
    <x v="0"/>
    <n v="31"/>
    <x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x v="1"/>
    <n v="22"/>
    <x v="1"/>
    <n v="3"/>
    <n v="80"/>
    <x v="1"/>
    <n v="7"/>
    <x v="1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x v="1"/>
    <n v="16"/>
    <x v="0"/>
    <n v="4"/>
    <n v="80"/>
    <x v="1"/>
    <n v="17"/>
    <x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x v="1"/>
    <n v="11"/>
    <x v="0"/>
    <n v="3"/>
    <n v="80"/>
    <x v="0"/>
    <n v="11"/>
    <x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x v="1"/>
    <n v="14"/>
    <x v="0"/>
    <n v="2"/>
    <n v="80"/>
    <x v="1"/>
    <n v="5"/>
    <x v="5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x v="1"/>
    <n v="16"/>
    <x v="0"/>
    <n v="2"/>
    <n v="80"/>
    <x v="0"/>
    <n v="29"/>
    <x v="4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x v="1"/>
    <n v="15"/>
    <x v="0"/>
    <n v="3"/>
    <n v="80"/>
    <x v="0"/>
    <n v="0"/>
    <x v="3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x v="1"/>
    <n v="12"/>
    <x v="0"/>
    <n v="2"/>
    <n v="80"/>
    <x v="1"/>
    <n v="10"/>
    <x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x v="1"/>
    <n v="20"/>
    <x v="1"/>
    <n v="2"/>
    <n v="80"/>
    <x v="0"/>
    <n v="8"/>
    <x v="1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x v="0"/>
    <n v="17"/>
    <x v="0"/>
    <n v="3"/>
    <n v="80"/>
    <x v="0"/>
    <n v="24"/>
    <x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x v="0"/>
    <n v="12"/>
    <x v="0"/>
    <n v="1"/>
    <n v="80"/>
    <x v="1"/>
    <n v="33"/>
    <x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x v="1"/>
    <n v="20"/>
    <x v="1"/>
    <n v="3"/>
    <n v="80"/>
    <x v="2"/>
    <n v="5"/>
    <x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x v="1"/>
    <n v="20"/>
    <x v="1"/>
    <n v="2"/>
    <n v="80"/>
    <x v="2"/>
    <n v="15"/>
    <x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x v="1"/>
    <n v="13"/>
    <x v="0"/>
    <n v="1"/>
    <n v="80"/>
    <x v="3"/>
    <n v="10"/>
    <x v="4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x v="1"/>
    <n v="14"/>
    <x v="0"/>
    <n v="3"/>
    <n v="80"/>
    <x v="0"/>
    <n v="3"/>
    <x v="1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x v="0"/>
    <n v="18"/>
    <x v="0"/>
    <n v="3"/>
    <n v="80"/>
    <x v="1"/>
    <n v="5"/>
    <x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x v="1"/>
    <n v="11"/>
    <x v="0"/>
    <n v="4"/>
    <n v="80"/>
    <x v="2"/>
    <n v="4"/>
    <x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x v="1"/>
    <n v="11"/>
    <x v="0"/>
    <n v="4"/>
    <n v="80"/>
    <x v="0"/>
    <n v="14"/>
    <x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x v="1"/>
    <n v="11"/>
    <x v="0"/>
    <n v="3"/>
    <n v="80"/>
    <x v="1"/>
    <n v="5"/>
    <x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x v="0"/>
    <n v="15"/>
    <x v="0"/>
    <n v="4"/>
    <n v="80"/>
    <x v="3"/>
    <n v="10"/>
    <x v="1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x v="0"/>
    <n v="12"/>
    <x v="0"/>
    <n v="4"/>
    <n v="80"/>
    <x v="3"/>
    <n v="8"/>
    <x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x v="1"/>
    <n v="11"/>
    <x v="0"/>
    <n v="2"/>
    <n v="80"/>
    <x v="0"/>
    <n v="14"/>
    <x v="3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x v="0"/>
    <n v="14"/>
    <x v="0"/>
    <n v="1"/>
    <n v="80"/>
    <x v="3"/>
    <n v="12"/>
    <x v="5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x v="0"/>
    <n v="15"/>
    <x v="0"/>
    <n v="4"/>
    <n v="80"/>
    <x v="0"/>
    <n v="8"/>
    <x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x v="1"/>
    <n v="13"/>
    <x v="0"/>
    <n v="1"/>
    <n v="80"/>
    <x v="0"/>
    <n v="8"/>
    <x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x v="0"/>
    <n v="13"/>
    <x v="0"/>
    <n v="1"/>
    <n v="80"/>
    <x v="2"/>
    <n v="4"/>
    <x v="1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x v="1"/>
    <n v="21"/>
    <x v="1"/>
    <n v="2"/>
    <n v="80"/>
    <x v="1"/>
    <n v="13"/>
    <x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x v="1"/>
    <n v="11"/>
    <x v="0"/>
    <n v="2"/>
    <n v="80"/>
    <x v="0"/>
    <n v="6"/>
    <x v="1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x v="0"/>
    <n v="11"/>
    <x v="0"/>
    <n v="2"/>
    <n v="80"/>
    <x v="1"/>
    <n v="24"/>
    <x v="1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x v="0"/>
    <n v="14"/>
    <x v="0"/>
    <n v="1"/>
    <n v="80"/>
    <x v="0"/>
    <n v="20"/>
    <x v="1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x v="0"/>
    <n v="11"/>
    <x v="0"/>
    <n v="4"/>
    <n v="80"/>
    <x v="0"/>
    <n v="6"/>
    <x v="1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x v="0"/>
    <n v="13"/>
    <x v="0"/>
    <n v="4"/>
    <n v="80"/>
    <x v="0"/>
    <n v="8"/>
    <x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x v="1"/>
    <n v="12"/>
    <x v="0"/>
    <n v="4"/>
    <n v="80"/>
    <x v="0"/>
    <n v="5"/>
    <x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x v="1"/>
    <n v="14"/>
    <x v="0"/>
    <n v="3"/>
    <n v="80"/>
    <x v="1"/>
    <n v="21"/>
    <x v="3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x v="1"/>
    <n v="13"/>
    <x v="0"/>
    <n v="3"/>
    <n v="80"/>
    <x v="0"/>
    <n v="12"/>
    <x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x v="1"/>
    <n v="18"/>
    <x v="0"/>
    <n v="1"/>
    <n v="80"/>
    <x v="0"/>
    <n v="8"/>
    <x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x v="1"/>
    <n v="11"/>
    <x v="0"/>
    <n v="3"/>
    <n v="80"/>
    <x v="0"/>
    <n v="10"/>
    <x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x v="1"/>
    <n v="11"/>
    <x v="0"/>
    <n v="2"/>
    <n v="80"/>
    <x v="1"/>
    <n v="7"/>
    <x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x v="1"/>
    <n v="12"/>
    <x v="0"/>
    <n v="4"/>
    <n v="80"/>
    <x v="0"/>
    <n v="8"/>
    <x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x v="1"/>
    <n v="13"/>
    <x v="0"/>
    <n v="1"/>
    <n v="80"/>
    <x v="0"/>
    <n v="10"/>
    <x v="1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x v="1"/>
    <n v="20"/>
    <x v="1"/>
    <n v="1"/>
    <n v="80"/>
    <x v="0"/>
    <n v="20"/>
    <x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x v="0"/>
    <n v="12"/>
    <x v="0"/>
    <n v="1"/>
    <n v="80"/>
    <x v="0"/>
    <n v="9"/>
    <x v="4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x v="1"/>
    <n v="19"/>
    <x v="0"/>
    <n v="4"/>
    <n v="80"/>
    <x v="0"/>
    <n v="29"/>
    <x v="1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x v="0"/>
    <n v="21"/>
    <x v="1"/>
    <n v="3"/>
    <n v="80"/>
    <x v="1"/>
    <n v="32"/>
    <x v="1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x v="1"/>
    <n v="13"/>
    <x v="0"/>
    <n v="4"/>
    <n v="80"/>
    <x v="3"/>
    <n v="31"/>
    <x v="5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x v="0"/>
    <n v="16"/>
    <x v="0"/>
    <n v="4"/>
    <n v="80"/>
    <x v="0"/>
    <n v="15"/>
    <x v="1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x v="1"/>
    <n v="12"/>
    <x v="0"/>
    <n v="2"/>
    <n v="80"/>
    <x v="0"/>
    <n v="1"/>
    <x v="1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x v="1"/>
    <n v="14"/>
    <x v="0"/>
    <n v="2"/>
    <n v="80"/>
    <x v="3"/>
    <n v="8"/>
    <x v="1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x v="1"/>
    <n v="11"/>
    <x v="0"/>
    <n v="3"/>
    <n v="80"/>
    <x v="0"/>
    <n v="9"/>
    <x v="1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x v="1"/>
    <n v="14"/>
    <x v="0"/>
    <n v="3"/>
    <n v="80"/>
    <x v="3"/>
    <n v="10"/>
    <x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x v="1"/>
    <n v="12"/>
    <x v="0"/>
    <n v="3"/>
    <n v="80"/>
    <x v="0"/>
    <n v="1"/>
    <x v="1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x v="1"/>
    <n v="14"/>
    <x v="0"/>
    <n v="2"/>
    <n v="80"/>
    <x v="0"/>
    <n v="6"/>
    <x v="1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x v="1"/>
    <n v="16"/>
    <x v="0"/>
    <n v="3"/>
    <n v="80"/>
    <x v="0"/>
    <n v="10"/>
    <x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x v="1"/>
    <n v="13"/>
    <x v="0"/>
    <n v="1"/>
    <n v="80"/>
    <x v="3"/>
    <n v="11"/>
    <x v="1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x v="1"/>
    <n v="12"/>
    <x v="0"/>
    <n v="3"/>
    <n v="80"/>
    <x v="1"/>
    <n v="17"/>
    <x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x v="1"/>
    <n v="12"/>
    <x v="0"/>
    <n v="1"/>
    <n v="80"/>
    <x v="0"/>
    <n v="6"/>
    <x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x v="1"/>
    <n v="14"/>
    <x v="0"/>
    <n v="1"/>
    <n v="80"/>
    <x v="0"/>
    <n v="7"/>
    <x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x v="1"/>
    <n v="22"/>
    <x v="1"/>
    <n v="4"/>
    <n v="80"/>
    <x v="1"/>
    <n v="5"/>
    <x v="1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x v="1"/>
    <n v="19"/>
    <x v="0"/>
    <n v="2"/>
    <n v="80"/>
    <x v="3"/>
    <n v="26"/>
    <x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x v="0"/>
    <n v="12"/>
    <x v="0"/>
    <n v="3"/>
    <n v="80"/>
    <x v="3"/>
    <n v="5"/>
    <x v="1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x v="1"/>
    <n v="12"/>
    <x v="0"/>
    <n v="3"/>
    <n v="80"/>
    <x v="1"/>
    <n v="7"/>
    <x v="1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x v="1"/>
    <n v="17"/>
    <x v="0"/>
    <n v="1"/>
    <n v="80"/>
    <x v="1"/>
    <n v="7"/>
    <x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x v="0"/>
    <n v="12"/>
    <x v="0"/>
    <n v="1"/>
    <n v="80"/>
    <x v="0"/>
    <n v="7"/>
    <x v="3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x v="1"/>
    <n v="11"/>
    <x v="0"/>
    <n v="3"/>
    <n v="80"/>
    <x v="3"/>
    <n v="11"/>
    <x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x v="1"/>
    <n v="18"/>
    <x v="0"/>
    <n v="1"/>
    <n v="80"/>
    <x v="1"/>
    <n v="13"/>
    <x v="3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x v="1"/>
    <n v="11"/>
    <x v="0"/>
    <n v="1"/>
    <n v="80"/>
    <x v="1"/>
    <n v="28"/>
    <x v="4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x v="0"/>
    <n v="23"/>
    <x v="1"/>
    <n v="2"/>
    <n v="80"/>
    <x v="0"/>
    <n v="11"/>
    <x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x v="1"/>
    <n v="11"/>
    <x v="0"/>
    <n v="1"/>
    <n v="80"/>
    <x v="0"/>
    <n v="10"/>
    <x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x v="0"/>
    <n v="18"/>
    <x v="0"/>
    <n v="2"/>
    <n v="80"/>
    <x v="1"/>
    <n v="24"/>
    <x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x v="1"/>
    <n v="18"/>
    <x v="0"/>
    <n v="4"/>
    <n v="80"/>
    <x v="0"/>
    <n v="8"/>
    <x v="1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x v="0"/>
    <n v="13"/>
    <x v="0"/>
    <n v="3"/>
    <n v="80"/>
    <x v="1"/>
    <n v="7"/>
    <x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x v="0"/>
    <n v="18"/>
    <x v="0"/>
    <n v="4"/>
    <n v="80"/>
    <x v="3"/>
    <n v="10"/>
    <x v="5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x v="1"/>
    <n v="11"/>
    <x v="0"/>
    <n v="1"/>
    <n v="80"/>
    <x v="2"/>
    <n v="15"/>
    <x v="1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x v="1"/>
    <n v="15"/>
    <x v="0"/>
    <n v="4"/>
    <n v="80"/>
    <x v="0"/>
    <n v="2"/>
    <x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x v="1"/>
    <n v="11"/>
    <x v="0"/>
    <n v="3"/>
    <n v="80"/>
    <x v="1"/>
    <n v="16"/>
    <x v="3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x v="1"/>
    <n v="18"/>
    <x v="0"/>
    <n v="4"/>
    <n v="80"/>
    <x v="0"/>
    <n v="6"/>
    <x v="5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x v="1"/>
    <n v="14"/>
    <x v="0"/>
    <n v="4"/>
    <n v="80"/>
    <x v="0"/>
    <n v="7"/>
    <x v="3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x v="1"/>
    <n v="12"/>
    <x v="0"/>
    <n v="2"/>
    <n v="80"/>
    <x v="0"/>
    <n v="35"/>
    <x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x v="1"/>
    <n v="14"/>
    <x v="0"/>
    <n v="2"/>
    <n v="80"/>
    <x v="1"/>
    <n v="20"/>
    <x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x v="1"/>
    <n v="14"/>
    <x v="0"/>
    <n v="3"/>
    <n v="80"/>
    <x v="1"/>
    <n v="8"/>
    <x v="1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x v="1"/>
    <n v="13"/>
    <x v="0"/>
    <n v="3"/>
    <n v="80"/>
    <x v="0"/>
    <n v="6"/>
    <x v="1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x v="1"/>
    <n v="14"/>
    <x v="0"/>
    <n v="1"/>
    <n v="80"/>
    <x v="3"/>
    <n v="5"/>
    <x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x v="1"/>
    <n v="18"/>
    <x v="0"/>
    <n v="4"/>
    <n v="80"/>
    <x v="0"/>
    <n v="15"/>
    <x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x v="1"/>
    <n v="15"/>
    <x v="0"/>
    <n v="3"/>
    <n v="80"/>
    <x v="3"/>
    <n v="4"/>
    <x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x v="1"/>
    <n v="13"/>
    <x v="0"/>
    <n v="3"/>
    <n v="80"/>
    <x v="0"/>
    <n v="12"/>
    <x v="1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x v="1"/>
    <n v="12"/>
    <x v="0"/>
    <n v="3"/>
    <n v="80"/>
    <x v="1"/>
    <n v="11"/>
    <x v="5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x v="1"/>
    <n v="13"/>
    <x v="0"/>
    <n v="2"/>
    <n v="80"/>
    <x v="3"/>
    <n v="1"/>
    <x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x v="1"/>
    <n v="24"/>
    <x v="1"/>
    <n v="1"/>
    <n v="80"/>
    <x v="1"/>
    <n v="13"/>
    <x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x v="1"/>
    <n v="14"/>
    <x v="0"/>
    <n v="2"/>
    <n v="80"/>
    <x v="3"/>
    <n v="29"/>
    <x v="1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x v="1"/>
    <n v="14"/>
    <x v="0"/>
    <n v="4"/>
    <n v="80"/>
    <x v="3"/>
    <n v="16"/>
    <x v="1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x v="1"/>
    <n v="15"/>
    <x v="0"/>
    <n v="4"/>
    <n v="80"/>
    <x v="1"/>
    <n v="5"/>
    <x v="1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x v="1"/>
    <n v="11"/>
    <x v="0"/>
    <n v="1"/>
    <n v="80"/>
    <x v="0"/>
    <n v="7"/>
    <x v="5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x v="0"/>
    <n v="23"/>
    <x v="1"/>
    <n v="3"/>
    <n v="80"/>
    <x v="0"/>
    <n v="16"/>
    <x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x v="1"/>
    <n v="13"/>
    <x v="0"/>
    <n v="1"/>
    <n v="80"/>
    <x v="1"/>
    <n v="1"/>
    <x v="1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x v="0"/>
    <n v="11"/>
    <x v="0"/>
    <n v="3"/>
    <n v="80"/>
    <x v="0"/>
    <n v="4"/>
    <x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x v="1"/>
    <n v="13"/>
    <x v="0"/>
    <n v="3"/>
    <n v="80"/>
    <x v="1"/>
    <n v="1"/>
    <x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x v="0"/>
    <n v="18"/>
    <x v="0"/>
    <n v="2"/>
    <n v="80"/>
    <x v="0"/>
    <n v="16"/>
    <x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x v="1"/>
    <n v="14"/>
    <x v="0"/>
    <n v="3"/>
    <n v="80"/>
    <x v="3"/>
    <n v="10"/>
    <x v="1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x v="1"/>
    <n v="21"/>
    <x v="1"/>
    <n v="1"/>
    <n v="80"/>
    <x v="1"/>
    <n v="6"/>
    <x v="1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x v="0"/>
    <n v="16"/>
    <x v="0"/>
    <n v="2"/>
    <n v="80"/>
    <x v="0"/>
    <n v="4"/>
    <x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x v="1"/>
    <n v="11"/>
    <x v="0"/>
    <n v="4"/>
    <n v="80"/>
    <x v="0"/>
    <n v="8"/>
    <x v="3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x v="0"/>
    <n v="17"/>
    <x v="0"/>
    <n v="3"/>
    <n v="80"/>
    <x v="1"/>
    <n v="11"/>
    <x v="5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x v="1"/>
    <n v="11"/>
    <x v="0"/>
    <n v="3"/>
    <n v="80"/>
    <x v="0"/>
    <n v="8"/>
    <x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x v="1"/>
    <n v="14"/>
    <x v="0"/>
    <n v="4"/>
    <n v="80"/>
    <x v="1"/>
    <n v="1"/>
    <x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x v="1"/>
    <n v="14"/>
    <x v="0"/>
    <n v="4"/>
    <n v="80"/>
    <x v="0"/>
    <n v="5"/>
    <x v="3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x v="1"/>
    <n v="25"/>
    <x v="1"/>
    <n v="1"/>
    <n v="80"/>
    <x v="1"/>
    <n v="10"/>
    <x v="1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x v="1"/>
    <n v="13"/>
    <x v="0"/>
    <n v="3"/>
    <n v="80"/>
    <x v="2"/>
    <n v="4"/>
    <x v="1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x v="1"/>
    <n v="14"/>
    <x v="0"/>
    <n v="2"/>
    <n v="80"/>
    <x v="3"/>
    <n v="8"/>
    <x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x v="0"/>
    <n v="17"/>
    <x v="0"/>
    <n v="1"/>
    <n v="80"/>
    <x v="0"/>
    <n v="14"/>
    <x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x v="1"/>
    <n v="25"/>
    <x v="1"/>
    <n v="2"/>
    <n v="80"/>
    <x v="0"/>
    <n v="10"/>
    <x v="3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x v="1"/>
    <n v="20"/>
    <x v="1"/>
    <n v="1"/>
    <n v="80"/>
    <x v="1"/>
    <n v="26"/>
    <x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x v="1"/>
    <n v="13"/>
    <x v="0"/>
    <n v="3"/>
    <n v="80"/>
    <x v="0"/>
    <n v="11"/>
    <x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x v="1"/>
    <n v="13"/>
    <x v="0"/>
    <n v="3"/>
    <n v="80"/>
    <x v="1"/>
    <n v="24"/>
    <x v="4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x v="1"/>
    <n v="18"/>
    <x v="0"/>
    <n v="4"/>
    <n v="80"/>
    <x v="0"/>
    <n v="9"/>
    <x v="1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x v="1"/>
    <n v="12"/>
    <x v="0"/>
    <n v="4"/>
    <n v="80"/>
    <x v="1"/>
    <n v="23"/>
    <x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x v="1"/>
    <n v="19"/>
    <x v="0"/>
    <n v="4"/>
    <n v="80"/>
    <x v="0"/>
    <n v="11"/>
    <x v="1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x v="1"/>
    <n v="14"/>
    <x v="0"/>
    <n v="2"/>
    <n v="80"/>
    <x v="0"/>
    <n v="5"/>
    <x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x v="1"/>
    <n v="14"/>
    <x v="0"/>
    <n v="2"/>
    <n v="80"/>
    <x v="0"/>
    <n v="15"/>
    <x v="1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x v="0"/>
    <n v="14"/>
    <x v="0"/>
    <n v="4"/>
    <n v="80"/>
    <x v="0"/>
    <n v="10"/>
    <x v="1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x v="1"/>
    <n v="12"/>
    <x v="0"/>
    <n v="1"/>
    <n v="80"/>
    <x v="0"/>
    <n v="7"/>
    <x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x v="0"/>
    <n v="13"/>
    <x v="0"/>
    <n v="4"/>
    <n v="80"/>
    <x v="0"/>
    <n v="32"/>
    <x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x v="0"/>
    <n v="25"/>
    <x v="1"/>
    <n v="2"/>
    <n v="80"/>
    <x v="1"/>
    <n v="12"/>
    <x v="5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x v="1"/>
    <n v="14"/>
    <x v="0"/>
    <n v="2"/>
    <n v="80"/>
    <x v="1"/>
    <n v="4"/>
    <x v="1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x v="1"/>
    <n v="17"/>
    <x v="0"/>
    <n v="1"/>
    <n v="80"/>
    <x v="0"/>
    <n v="10"/>
    <x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x v="1"/>
    <n v="13"/>
    <x v="0"/>
    <n v="3"/>
    <n v="80"/>
    <x v="1"/>
    <n v="9"/>
    <x v="1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x v="1"/>
    <n v="13"/>
    <x v="0"/>
    <n v="4"/>
    <n v="80"/>
    <x v="0"/>
    <n v="5"/>
    <x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x v="1"/>
    <n v="20"/>
    <x v="1"/>
    <n v="4"/>
    <n v="80"/>
    <x v="1"/>
    <n v="8"/>
    <x v="1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x v="0"/>
    <n v="14"/>
    <x v="0"/>
    <n v="3"/>
    <n v="80"/>
    <x v="1"/>
    <n v="24"/>
    <x v="1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x v="1"/>
    <n v="12"/>
    <x v="0"/>
    <n v="4"/>
    <n v="80"/>
    <x v="0"/>
    <n v="9"/>
    <x v="3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x v="0"/>
    <n v="12"/>
    <x v="0"/>
    <n v="2"/>
    <n v="80"/>
    <x v="1"/>
    <n v="15"/>
    <x v="1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x v="0"/>
    <n v="21"/>
    <x v="1"/>
    <n v="4"/>
    <n v="80"/>
    <x v="0"/>
    <n v="21"/>
    <x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x v="1"/>
    <n v="14"/>
    <x v="0"/>
    <n v="2"/>
    <n v="80"/>
    <x v="2"/>
    <n v="2"/>
    <x v="1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x v="0"/>
    <n v="18"/>
    <x v="0"/>
    <n v="3"/>
    <n v="80"/>
    <x v="0"/>
    <n v="8"/>
    <x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x v="1"/>
    <n v="12"/>
    <x v="0"/>
    <n v="1"/>
    <n v="80"/>
    <x v="2"/>
    <n v="10"/>
    <x v="5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x v="1"/>
    <n v="23"/>
    <x v="1"/>
    <n v="1"/>
    <n v="80"/>
    <x v="3"/>
    <n v="6"/>
    <x v="3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x v="1"/>
    <n v="12"/>
    <x v="0"/>
    <n v="1"/>
    <n v="80"/>
    <x v="1"/>
    <n v="12"/>
    <x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x v="0"/>
    <n v="21"/>
    <x v="1"/>
    <n v="4"/>
    <n v="80"/>
    <x v="0"/>
    <n v="7"/>
    <x v="1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x v="1"/>
    <n v="14"/>
    <x v="0"/>
    <n v="3"/>
    <n v="80"/>
    <x v="1"/>
    <n v="18"/>
    <x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x v="1"/>
    <n v="18"/>
    <x v="0"/>
    <n v="1"/>
    <n v="80"/>
    <x v="3"/>
    <n v="5"/>
    <x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x v="1"/>
    <n v="13"/>
    <x v="0"/>
    <n v="4"/>
    <n v="80"/>
    <x v="1"/>
    <n v="8"/>
    <x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x v="1"/>
    <n v="11"/>
    <x v="0"/>
    <n v="4"/>
    <n v="80"/>
    <x v="1"/>
    <n v="10"/>
    <x v="5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x v="1"/>
    <n v="11"/>
    <x v="0"/>
    <n v="3"/>
    <n v="80"/>
    <x v="0"/>
    <n v="10"/>
    <x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x v="1"/>
    <n v="19"/>
    <x v="0"/>
    <n v="2"/>
    <n v="80"/>
    <x v="0"/>
    <n v="3"/>
    <x v="1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x v="1"/>
    <n v="12"/>
    <x v="0"/>
    <n v="2"/>
    <n v="80"/>
    <x v="1"/>
    <n v="9"/>
    <x v="1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x v="0"/>
    <n v="12"/>
    <x v="0"/>
    <n v="4"/>
    <n v="80"/>
    <x v="1"/>
    <n v="1"/>
    <x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x v="1"/>
    <n v="16"/>
    <x v="0"/>
    <n v="2"/>
    <n v="80"/>
    <x v="1"/>
    <n v="34"/>
    <x v="5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x v="1"/>
    <n v="11"/>
    <x v="0"/>
    <n v="1"/>
    <n v="80"/>
    <x v="3"/>
    <n v="7"/>
    <x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x v="1"/>
    <n v="14"/>
    <x v="0"/>
    <n v="2"/>
    <n v="80"/>
    <x v="1"/>
    <n v="9"/>
    <x v="1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x v="1"/>
    <n v="12"/>
    <x v="0"/>
    <n v="4"/>
    <n v="80"/>
    <x v="1"/>
    <n v="10"/>
    <x v="1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x v="1"/>
    <n v="13"/>
    <x v="0"/>
    <n v="3"/>
    <n v="80"/>
    <x v="0"/>
    <n v="1"/>
    <x v="5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x v="1"/>
    <n v="21"/>
    <x v="1"/>
    <n v="3"/>
    <n v="80"/>
    <x v="1"/>
    <n v="36"/>
    <x v="1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x v="1"/>
    <n v="17"/>
    <x v="0"/>
    <n v="2"/>
    <n v="80"/>
    <x v="1"/>
    <n v="9"/>
    <x v="1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x v="1"/>
    <n v="21"/>
    <x v="1"/>
    <n v="1"/>
    <n v="80"/>
    <x v="0"/>
    <n v="1"/>
    <x v="3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x v="1"/>
    <n v="11"/>
    <x v="0"/>
    <n v="4"/>
    <n v="80"/>
    <x v="1"/>
    <n v="10"/>
    <x v="1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x v="1"/>
    <n v="12"/>
    <x v="0"/>
    <n v="2"/>
    <n v="80"/>
    <x v="0"/>
    <n v="8"/>
    <x v="3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x v="1"/>
    <n v="13"/>
    <x v="0"/>
    <n v="1"/>
    <n v="80"/>
    <x v="0"/>
    <n v="15"/>
    <x v="3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x v="0"/>
    <n v="18"/>
    <x v="0"/>
    <n v="4"/>
    <n v="80"/>
    <x v="0"/>
    <n v="10"/>
    <x v="1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x v="0"/>
    <n v="16"/>
    <x v="0"/>
    <n v="3"/>
    <n v="80"/>
    <x v="0"/>
    <n v="10"/>
    <x v="5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x v="1"/>
    <n v="11"/>
    <x v="0"/>
    <n v="1"/>
    <n v="80"/>
    <x v="1"/>
    <n v="11"/>
    <x v="1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x v="1"/>
    <n v="19"/>
    <x v="0"/>
    <n v="4"/>
    <n v="80"/>
    <x v="1"/>
    <n v="6"/>
    <x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x v="0"/>
    <n v="16"/>
    <x v="0"/>
    <n v="3"/>
    <n v="80"/>
    <x v="1"/>
    <n v="27"/>
    <x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x v="1"/>
    <n v="16"/>
    <x v="0"/>
    <n v="4"/>
    <n v="80"/>
    <x v="1"/>
    <n v="4"/>
    <x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x v="0"/>
    <n v="13"/>
    <x v="0"/>
    <n v="4"/>
    <n v="80"/>
    <x v="1"/>
    <n v="9"/>
    <x v="1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x v="1"/>
    <n v="22"/>
    <x v="1"/>
    <n v="4"/>
    <n v="80"/>
    <x v="0"/>
    <n v="24"/>
    <x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x v="1"/>
    <n v="17"/>
    <x v="0"/>
    <n v="4"/>
    <n v="80"/>
    <x v="3"/>
    <n v="10"/>
    <x v="1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x v="1"/>
    <n v="14"/>
    <x v="0"/>
    <n v="2"/>
    <n v="80"/>
    <x v="1"/>
    <n v="8"/>
    <x v="1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x v="1"/>
    <n v="15"/>
    <x v="0"/>
    <n v="3"/>
    <n v="80"/>
    <x v="1"/>
    <n v="5"/>
    <x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x v="1"/>
    <n v="12"/>
    <x v="0"/>
    <n v="3"/>
    <n v="80"/>
    <x v="1"/>
    <n v="8"/>
    <x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x v="1"/>
    <n v="18"/>
    <x v="0"/>
    <n v="4"/>
    <n v="80"/>
    <x v="1"/>
    <n v="1"/>
    <x v="3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x v="1"/>
    <n v="15"/>
    <x v="0"/>
    <n v="2"/>
    <n v="80"/>
    <x v="0"/>
    <n v="27"/>
    <x v="3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x v="0"/>
    <n v="17"/>
    <x v="0"/>
    <n v="3"/>
    <n v="80"/>
    <x v="2"/>
    <n v="1"/>
    <x v="1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x v="0"/>
    <n v="14"/>
    <x v="0"/>
    <n v="2"/>
    <n v="80"/>
    <x v="0"/>
    <n v="4"/>
    <x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x v="0"/>
    <n v="15"/>
    <x v="0"/>
    <n v="3"/>
    <n v="80"/>
    <x v="1"/>
    <n v="32"/>
    <x v="1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x v="1"/>
    <n v="17"/>
    <x v="0"/>
    <n v="4"/>
    <n v="80"/>
    <x v="3"/>
    <n v="6"/>
    <x v="1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x v="0"/>
    <n v="14"/>
    <x v="0"/>
    <n v="4"/>
    <n v="80"/>
    <x v="1"/>
    <n v="23"/>
    <x v="5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x v="1"/>
    <n v="12"/>
    <x v="0"/>
    <n v="2"/>
    <n v="80"/>
    <x v="1"/>
    <n v="6"/>
    <x v="1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x v="0"/>
    <n v="14"/>
    <x v="0"/>
    <n v="1"/>
    <n v="80"/>
    <x v="0"/>
    <n v="10"/>
    <x v="1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x v="1"/>
    <n v="15"/>
    <x v="0"/>
    <n v="1"/>
    <n v="80"/>
    <x v="1"/>
    <n v="10"/>
    <x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x v="1"/>
    <n v="13"/>
    <x v="0"/>
    <n v="4"/>
    <n v="80"/>
    <x v="0"/>
    <n v="10"/>
    <x v="1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x v="0"/>
    <n v="12"/>
    <x v="0"/>
    <n v="2"/>
    <n v="80"/>
    <x v="3"/>
    <n v="7"/>
    <x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x v="1"/>
    <n v="13"/>
    <x v="0"/>
    <n v="1"/>
    <n v="80"/>
    <x v="1"/>
    <n v="9"/>
    <x v="1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x v="1"/>
    <n v="14"/>
    <x v="0"/>
    <n v="4"/>
    <n v="80"/>
    <x v="1"/>
    <n v="10"/>
    <x v="1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x v="1"/>
    <n v="13"/>
    <x v="0"/>
    <n v="4"/>
    <n v="80"/>
    <x v="2"/>
    <n v="10"/>
    <x v="1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x v="1"/>
    <n v="11"/>
    <x v="0"/>
    <n v="1"/>
    <n v="80"/>
    <x v="3"/>
    <n v="7"/>
    <x v="1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x v="1"/>
    <n v="11"/>
    <x v="0"/>
    <n v="4"/>
    <n v="80"/>
    <x v="0"/>
    <n v="16"/>
    <x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x v="1"/>
    <n v="21"/>
    <x v="1"/>
    <n v="2"/>
    <n v="80"/>
    <x v="1"/>
    <n v="6"/>
    <x v="3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x v="1"/>
    <n v="18"/>
    <x v="0"/>
    <n v="3"/>
    <n v="80"/>
    <x v="0"/>
    <n v="3"/>
    <x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x v="0"/>
    <n v="12"/>
    <x v="0"/>
    <n v="3"/>
    <n v="80"/>
    <x v="0"/>
    <n v="0"/>
    <x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x v="1"/>
    <n v="11"/>
    <x v="0"/>
    <n v="3"/>
    <n v="80"/>
    <x v="1"/>
    <n v="27"/>
    <x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x v="1"/>
    <n v="15"/>
    <x v="0"/>
    <n v="4"/>
    <n v="80"/>
    <x v="1"/>
    <n v="11"/>
    <x v="1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x v="1"/>
    <n v="13"/>
    <x v="0"/>
    <n v="4"/>
    <n v="80"/>
    <x v="3"/>
    <n v="18"/>
    <x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x v="1"/>
    <n v="12"/>
    <x v="0"/>
    <n v="4"/>
    <n v="80"/>
    <x v="1"/>
    <n v="15"/>
    <x v="3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x v="1"/>
    <n v="17"/>
    <x v="0"/>
    <n v="1"/>
    <n v="80"/>
    <x v="2"/>
    <n v="9"/>
    <x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x v="1"/>
    <n v="13"/>
    <x v="0"/>
    <n v="4"/>
    <n v="80"/>
    <x v="0"/>
    <n v="10"/>
    <x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x v="1"/>
    <n v="19"/>
    <x v="0"/>
    <n v="1"/>
    <n v="80"/>
    <x v="3"/>
    <n v="10"/>
    <x v="1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x v="0"/>
    <n v="19"/>
    <x v="0"/>
    <n v="4"/>
    <n v="80"/>
    <x v="1"/>
    <n v="10"/>
    <x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x v="1"/>
    <n v="17"/>
    <x v="0"/>
    <n v="3"/>
    <n v="80"/>
    <x v="0"/>
    <n v="15"/>
    <x v="1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x v="1"/>
    <n v="11"/>
    <x v="0"/>
    <n v="1"/>
    <n v="80"/>
    <x v="1"/>
    <n v="8"/>
    <x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x v="0"/>
    <n v="15"/>
    <x v="0"/>
    <n v="4"/>
    <n v="80"/>
    <x v="0"/>
    <n v="18"/>
    <x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x v="0"/>
    <n v="11"/>
    <x v="0"/>
    <n v="3"/>
    <n v="80"/>
    <x v="0"/>
    <n v="14"/>
    <x v="1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x v="1"/>
    <n v="25"/>
    <x v="1"/>
    <n v="2"/>
    <n v="80"/>
    <x v="1"/>
    <n v="23"/>
    <x v="1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x v="0"/>
    <n v="14"/>
    <x v="0"/>
    <n v="4"/>
    <n v="80"/>
    <x v="3"/>
    <n v="7"/>
    <x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x v="0"/>
    <n v="13"/>
    <x v="0"/>
    <n v="3"/>
    <n v="80"/>
    <x v="0"/>
    <n v="6"/>
    <x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x v="1"/>
    <n v="17"/>
    <x v="0"/>
    <n v="1"/>
    <n v="80"/>
    <x v="0"/>
    <n v="5"/>
    <x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x v="1"/>
    <n v="13"/>
    <x v="0"/>
    <n v="3"/>
    <n v="80"/>
    <x v="0"/>
    <n v="6"/>
    <x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x v="0"/>
    <n v="14"/>
    <x v="0"/>
    <n v="2"/>
    <n v="80"/>
    <x v="0"/>
    <n v="10"/>
    <x v="1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x v="1"/>
    <n v="11"/>
    <x v="0"/>
    <n v="3"/>
    <n v="80"/>
    <x v="0"/>
    <n v="8"/>
    <x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x v="1"/>
    <n v="12"/>
    <x v="0"/>
    <n v="3"/>
    <n v="80"/>
    <x v="3"/>
    <n v="9"/>
    <x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x v="1"/>
    <n v="17"/>
    <x v="0"/>
    <n v="3"/>
    <n v="80"/>
    <x v="3"/>
    <n v="7"/>
    <x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x v="1"/>
    <n v="21"/>
    <x v="1"/>
    <n v="3"/>
    <n v="80"/>
    <x v="0"/>
    <n v="7"/>
    <x v="1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x v="1"/>
    <n v="16"/>
    <x v="0"/>
    <n v="2"/>
    <n v="80"/>
    <x v="3"/>
    <n v="27"/>
    <x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x v="1"/>
    <n v="15"/>
    <x v="0"/>
    <n v="3"/>
    <n v="80"/>
    <x v="2"/>
    <n v="19"/>
    <x v="1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x v="1"/>
    <n v="19"/>
    <x v="0"/>
    <n v="1"/>
    <n v="80"/>
    <x v="0"/>
    <n v="2"/>
    <x v="1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x v="1"/>
    <n v="12"/>
    <x v="0"/>
    <n v="3"/>
    <n v="80"/>
    <x v="1"/>
    <n v="11"/>
    <x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x v="1"/>
    <n v="11"/>
    <x v="0"/>
    <n v="3"/>
    <n v="80"/>
    <x v="0"/>
    <n v="15"/>
    <x v="5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x v="0"/>
    <n v="19"/>
    <x v="0"/>
    <n v="2"/>
    <n v="80"/>
    <x v="1"/>
    <n v="30"/>
    <x v="1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x v="1"/>
    <n v="15"/>
    <x v="0"/>
    <n v="3"/>
    <n v="80"/>
    <x v="0"/>
    <n v="4"/>
    <x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x v="1"/>
    <n v="20"/>
    <x v="1"/>
    <n v="1"/>
    <n v="80"/>
    <x v="1"/>
    <n v="13"/>
    <x v="1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x v="1"/>
    <n v="25"/>
    <x v="1"/>
    <n v="3"/>
    <n v="80"/>
    <x v="1"/>
    <n v="36"/>
    <x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x v="1"/>
    <n v="24"/>
    <x v="1"/>
    <n v="1"/>
    <n v="80"/>
    <x v="1"/>
    <n v="14"/>
    <x v="1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x v="0"/>
    <n v="24"/>
    <x v="1"/>
    <n v="1"/>
    <n v="80"/>
    <x v="0"/>
    <n v="13"/>
    <x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x v="1"/>
    <n v="15"/>
    <x v="0"/>
    <n v="4"/>
    <n v="80"/>
    <x v="3"/>
    <n v="19"/>
    <x v="5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x v="0"/>
    <n v="13"/>
    <x v="0"/>
    <n v="2"/>
    <n v="80"/>
    <x v="1"/>
    <n v="10"/>
    <x v="1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x v="1"/>
    <n v="14"/>
    <x v="0"/>
    <n v="3"/>
    <n v="80"/>
    <x v="3"/>
    <n v="6"/>
    <x v="3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x v="1"/>
    <n v="13"/>
    <x v="0"/>
    <n v="3"/>
    <n v="80"/>
    <x v="3"/>
    <n v="10"/>
    <x v="5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x v="1"/>
    <n v="11"/>
    <x v="0"/>
    <n v="1"/>
    <n v="80"/>
    <x v="3"/>
    <n v="10"/>
    <x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x v="0"/>
    <n v="16"/>
    <x v="0"/>
    <n v="2"/>
    <n v="80"/>
    <x v="1"/>
    <n v="17"/>
    <x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x v="1"/>
    <n v="22"/>
    <x v="1"/>
    <n v="2"/>
    <n v="80"/>
    <x v="0"/>
    <n v="4"/>
    <x v="1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x v="1"/>
    <n v="14"/>
    <x v="0"/>
    <n v="3"/>
    <n v="80"/>
    <x v="2"/>
    <n v="29"/>
    <x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x v="1"/>
    <n v="14"/>
    <x v="0"/>
    <n v="1"/>
    <n v="80"/>
    <x v="0"/>
    <n v="23"/>
    <x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x v="0"/>
    <n v="16"/>
    <x v="0"/>
    <n v="4"/>
    <n v="80"/>
    <x v="0"/>
    <n v="21"/>
    <x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x v="1"/>
    <n v="11"/>
    <x v="0"/>
    <n v="1"/>
    <n v="80"/>
    <x v="0"/>
    <n v="2"/>
    <x v="1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x v="0"/>
    <n v="25"/>
    <x v="1"/>
    <n v="3"/>
    <n v="80"/>
    <x v="1"/>
    <n v="7"/>
    <x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x v="1"/>
    <n v="14"/>
    <x v="0"/>
    <n v="2"/>
    <n v="80"/>
    <x v="3"/>
    <n v="10"/>
    <x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x v="0"/>
    <n v="18"/>
    <x v="0"/>
    <n v="1"/>
    <n v="80"/>
    <x v="2"/>
    <n v="8"/>
    <x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x v="0"/>
    <n v="11"/>
    <x v="0"/>
    <n v="1"/>
    <n v="80"/>
    <x v="0"/>
    <n v="5"/>
    <x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x v="1"/>
    <n v="19"/>
    <x v="0"/>
    <n v="4"/>
    <n v="80"/>
    <x v="1"/>
    <n v="7"/>
    <x v="3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x v="1"/>
    <n v="15"/>
    <x v="0"/>
    <n v="3"/>
    <n v="80"/>
    <x v="0"/>
    <n v="11"/>
    <x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x v="0"/>
    <n v="11"/>
    <x v="0"/>
    <n v="3"/>
    <n v="80"/>
    <x v="3"/>
    <n v="19"/>
    <x v="1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x v="1"/>
    <n v="12"/>
    <x v="0"/>
    <n v="1"/>
    <n v="80"/>
    <x v="0"/>
    <n v="1"/>
    <x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x v="1"/>
    <n v="20"/>
    <x v="1"/>
    <n v="3"/>
    <n v="80"/>
    <x v="0"/>
    <n v="7"/>
    <x v="3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x v="1"/>
    <n v="12"/>
    <x v="0"/>
    <n v="4"/>
    <n v="80"/>
    <x v="1"/>
    <n v="8"/>
    <x v="4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x v="1"/>
    <n v="14"/>
    <x v="0"/>
    <n v="3"/>
    <n v="80"/>
    <x v="1"/>
    <n v="15"/>
    <x v="1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x v="1"/>
    <n v="20"/>
    <x v="1"/>
    <n v="3"/>
    <n v="80"/>
    <x v="1"/>
    <n v="19"/>
    <x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x v="1"/>
    <n v="18"/>
    <x v="0"/>
    <n v="4"/>
    <n v="80"/>
    <x v="2"/>
    <n v="14"/>
    <x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x v="1"/>
    <n v="14"/>
    <x v="0"/>
    <n v="3"/>
    <n v="80"/>
    <x v="3"/>
    <n v="6"/>
    <x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x v="1"/>
    <n v="12"/>
    <x v="0"/>
    <n v="2"/>
    <n v="80"/>
    <x v="0"/>
    <n v="10"/>
    <x v="1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x v="0"/>
    <n v="21"/>
    <x v="1"/>
    <n v="2"/>
    <n v="80"/>
    <x v="1"/>
    <n v="3"/>
    <x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x v="0"/>
    <n v="19"/>
    <x v="0"/>
    <n v="2"/>
    <n v="80"/>
    <x v="1"/>
    <n v="9"/>
    <x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x v="0"/>
    <n v="14"/>
    <x v="0"/>
    <n v="3"/>
    <n v="80"/>
    <x v="0"/>
    <n v="6"/>
    <x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x v="0"/>
    <n v="17"/>
    <x v="0"/>
    <n v="1"/>
    <n v="80"/>
    <x v="1"/>
    <n v="10"/>
    <x v="1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x v="1"/>
    <n v="16"/>
    <x v="0"/>
    <n v="4"/>
    <n v="80"/>
    <x v="1"/>
    <n v="5"/>
    <x v="4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x v="1"/>
    <n v="12"/>
    <x v="0"/>
    <n v="2"/>
    <n v="80"/>
    <x v="0"/>
    <n v="10"/>
    <x v="1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x v="1"/>
    <n v="17"/>
    <x v="0"/>
    <n v="3"/>
    <n v="80"/>
    <x v="1"/>
    <n v="9"/>
    <x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x v="1"/>
    <n v="15"/>
    <x v="0"/>
    <n v="3"/>
    <n v="80"/>
    <x v="0"/>
    <n v="17"/>
    <x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x v="1"/>
    <n v="23"/>
    <x v="1"/>
    <n v="4"/>
    <n v="80"/>
    <x v="1"/>
    <n v="25"/>
    <x v="1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x v="1"/>
    <n v="11"/>
    <x v="0"/>
    <n v="3"/>
    <n v="80"/>
    <x v="1"/>
    <n v="1"/>
    <x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x v="1"/>
    <n v="11"/>
    <x v="0"/>
    <n v="3"/>
    <n v="80"/>
    <x v="0"/>
    <n v="25"/>
    <x v="1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x v="1"/>
    <n v="15"/>
    <x v="0"/>
    <n v="3"/>
    <n v="80"/>
    <x v="2"/>
    <n v="3"/>
    <x v="1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x v="1"/>
    <n v="11"/>
    <x v="0"/>
    <n v="3"/>
    <n v="80"/>
    <x v="0"/>
    <n v="21"/>
    <x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x v="1"/>
    <n v="13"/>
    <x v="0"/>
    <n v="1"/>
    <n v="80"/>
    <x v="1"/>
    <n v="10"/>
    <x v="1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x v="1"/>
    <n v="14"/>
    <x v="0"/>
    <n v="4"/>
    <n v="80"/>
    <x v="1"/>
    <n v="6"/>
    <x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x v="1"/>
    <n v="19"/>
    <x v="0"/>
    <n v="2"/>
    <n v="80"/>
    <x v="1"/>
    <n v="10"/>
    <x v="5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x v="0"/>
    <n v="16"/>
    <x v="0"/>
    <n v="2"/>
    <n v="80"/>
    <x v="1"/>
    <n v="18"/>
    <x v="1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x v="1"/>
    <n v="13"/>
    <x v="0"/>
    <n v="2"/>
    <n v="80"/>
    <x v="2"/>
    <n v="6"/>
    <x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x v="1"/>
    <n v="14"/>
    <x v="0"/>
    <n v="4"/>
    <n v="80"/>
    <x v="0"/>
    <n v="19"/>
    <x v="1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x v="1"/>
    <n v="16"/>
    <x v="0"/>
    <n v="2"/>
    <n v="80"/>
    <x v="1"/>
    <n v="17"/>
    <x v="1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x v="1"/>
    <n v="12"/>
    <x v="0"/>
    <n v="2"/>
    <n v="80"/>
    <x v="1"/>
    <n v="10"/>
    <x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x v="1"/>
    <n v="11"/>
    <x v="0"/>
    <n v="4"/>
    <n v="80"/>
    <x v="1"/>
    <n v="4"/>
    <x v="1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x v="0"/>
    <n v="12"/>
    <x v="0"/>
    <n v="2"/>
    <n v="80"/>
    <x v="1"/>
    <n v="13"/>
    <x v="3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x v="0"/>
    <n v="13"/>
    <x v="0"/>
    <n v="2"/>
    <n v="80"/>
    <x v="2"/>
    <n v="16"/>
    <x v="1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x v="1"/>
    <n v="15"/>
    <x v="0"/>
    <n v="2"/>
    <n v="80"/>
    <x v="0"/>
    <n v="10"/>
    <x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x v="1"/>
    <n v="13"/>
    <x v="0"/>
    <n v="3"/>
    <n v="80"/>
    <x v="0"/>
    <n v="3"/>
    <x v="1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x v="1"/>
    <n v="20"/>
    <x v="1"/>
    <n v="4"/>
    <n v="80"/>
    <x v="0"/>
    <n v="9"/>
    <x v="1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x v="0"/>
    <n v="15"/>
    <x v="0"/>
    <n v="4"/>
    <n v="80"/>
    <x v="1"/>
    <n v="9"/>
    <x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x v="1"/>
    <n v="13"/>
    <x v="0"/>
    <n v="3"/>
    <n v="80"/>
    <x v="1"/>
    <n v="10"/>
    <x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x v="1"/>
    <n v="14"/>
    <x v="0"/>
    <n v="2"/>
    <n v="80"/>
    <x v="0"/>
    <n v="21"/>
    <x v="1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x v="1"/>
    <n v="21"/>
    <x v="1"/>
    <n v="3"/>
    <n v="80"/>
    <x v="3"/>
    <n v="9"/>
    <x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x v="1"/>
    <n v="16"/>
    <x v="0"/>
    <n v="4"/>
    <n v="80"/>
    <x v="0"/>
    <n v="10"/>
    <x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x v="1"/>
    <n v="14"/>
    <x v="0"/>
    <n v="4"/>
    <n v="80"/>
    <x v="1"/>
    <n v="3"/>
    <x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x v="1"/>
    <n v="11"/>
    <x v="0"/>
    <n v="3"/>
    <n v="80"/>
    <x v="1"/>
    <n v="6"/>
    <x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x v="1"/>
    <n v="19"/>
    <x v="0"/>
    <n v="3"/>
    <n v="80"/>
    <x v="1"/>
    <n v="6"/>
    <x v="1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x v="1"/>
    <n v="11"/>
    <x v="0"/>
    <n v="3"/>
    <n v="80"/>
    <x v="0"/>
    <n v="6"/>
    <x v="3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x v="1"/>
    <n v="13"/>
    <x v="0"/>
    <n v="3"/>
    <n v="80"/>
    <x v="0"/>
    <n v="2"/>
    <x v="1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x v="0"/>
    <n v="12"/>
    <x v="0"/>
    <n v="4"/>
    <n v="80"/>
    <x v="0"/>
    <n v="10"/>
    <x v="3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x v="1"/>
    <n v="11"/>
    <x v="0"/>
    <n v="1"/>
    <n v="80"/>
    <x v="1"/>
    <n v="12"/>
    <x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x v="0"/>
    <n v="14"/>
    <x v="0"/>
    <n v="1"/>
    <n v="80"/>
    <x v="2"/>
    <n v="6"/>
    <x v="1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x v="1"/>
    <n v="15"/>
    <x v="0"/>
    <n v="4"/>
    <n v="80"/>
    <x v="0"/>
    <n v="13"/>
    <x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x v="1"/>
    <n v="12"/>
    <x v="0"/>
    <n v="3"/>
    <n v="80"/>
    <x v="0"/>
    <n v="8"/>
    <x v="4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x v="0"/>
    <n v="20"/>
    <x v="1"/>
    <n v="3"/>
    <n v="80"/>
    <x v="0"/>
    <n v="11"/>
    <x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x v="1"/>
    <n v="14"/>
    <x v="0"/>
    <n v="2"/>
    <n v="80"/>
    <x v="1"/>
    <n v="9"/>
    <x v="5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x v="1"/>
    <n v="13"/>
    <x v="0"/>
    <n v="1"/>
    <n v="80"/>
    <x v="2"/>
    <n v="10"/>
    <x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x v="1"/>
    <n v="13"/>
    <x v="0"/>
    <n v="3"/>
    <n v="80"/>
    <x v="1"/>
    <n v="1"/>
    <x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x v="1"/>
    <n v="16"/>
    <x v="0"/>
    <n v="3"/>
    <n v="80"/>
    <x v="1"/>
    <n v="10"/>
    <x v="1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x v="1"/>
    <n v="14"/>
    <x v="0"/>
    <n v="2"/>
    <n v="80"/>
    <x v="0"/>
    <n v="12"/>
    <x v="1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x v="0"/>
    <n v="16"/>
    <x v="0"/>
    <n v="3"/>
    <n v="80"/>
    <x v="1"/>
    <n v="15"/>
    <x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x v="0"/>
    <n v="16"/>
    <x v="0"/>
    <n v="4"/>
    <n v="80"/>
    <x v="1"/>
    <n v="6"/>
    <x v="5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x v="1"/>
    <n v="22"/>
    <x v="1"/>
    <n v="2"/>
    <n v="80"/>
    <x v="2"/>
    <n v="7"/>
    <x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x v="1"/>
    <n v="12"/>
    <x v="0"/>
    <n v="2"/>
    <n v="80"/>
    <x v="2"/>
    <n v="34"/>
    <x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x v="1"/>
    <n v="15"/>
    <x v="0"/>
    <n v="4"/>
    <n v="80"/>
    <x v="3"/>
    <n v="11"/>
    <x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x v="1"/>
    <n v="20"/>
    <x v="1"/>
    <n v="2"/>
    <n v="80"/>
    <x v="3"/>
    <n v="5"/>
    <x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x v="0"/>
    <n v="14"/>
    <x v="0"/>
    <n v="3"/>
    <n v="80"/>
    <x v="1"/>
    <n v="15"/>
    <x v="1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x v="0"/>
    <n v="20"/>
    <x v="1"/>
    <n v="4"/>
    <n v="80"/>
    <x v="2"/>
    <n v="27"/>
    <x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x v="1"/>
    <n v="13"/>
    <x v="0"/>
    <n v="2"/>
    <n v="80"/>
    <x v="0"/>
    <n v="10"/>
    <x v="3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x v="1"/>
    <n v="12"/>
    <x v="0"/>
    <n v="1"/>
    <n v="80"/>
    <x v="0"/>
    <n v="6"/>
    <x v="1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x v="1"/>
    <n v="13"/>
    <x v="0"/>
    <n v="2"/>
    <n v="80"/>
    <x v="0"/>
    <n v="1"/>
    <x v="1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x v="1"/>
    <n v="11"/>
    <x v="0"/>
    <n v="2"/>
    <n v="80"/>
    <x v="1"/>
    <n v="5"/>
    <x v="1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x v="0"/>
    <n v="17"/>
    <x v="0"/>
    <n v="3"/>
    <n v="80"/>
    <x v="0"/>
    <n v="1"/>
    <x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x v="1"/>
    <n v="14"/>
    <x v="0"/>
    <n v="1"/>
    <n v="80"/>
    <x v="3"/>
    <n v="13"/>
    <x v="1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x v="1"/>
    <n v="11"/>
    <x v="0"/>
    <n v="4"/>
    <n v="80"/>
    <x v="0"/>
    <n v="15"/>
    <x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x v="1"/>
    <n v="14"/>
    <x v="0"/>
    <n v="1"/>
    <n v="80"/>
    <x v="3"/>
    <n v="5"/>
    <x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x v="0"/>
    <n v="17"/>
    <x v="0"/>
    <n v="3"/>
    <n v="80"/>
    <x v="1"/>
    <n v="24"/>
    <x v="1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x v="0"/>
    <n v="13"/>
    <x v="0"/>
    <n v="4"/>
    <n v="80"/>
    <x v="1"/>
    <n v="15"/>
    <x v="4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x v="0"/>
    <n v="12"/>
    <x v="0"/>
    <n v="3"/>
    <n v="80"/>
    <x v="2"/>
    <n v="6"/>
    <x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x v="1"/>
    <n v="13"/>
    <x v="0"/>
    <n v="3"/>
    <n v="80"/>
    <x v="0"/>
    <n v="19"/>
    <x v="5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x v="0"/>
    <n v="18"/>
    <x v="0"/>
    <n v="4"/>
    <n v="80"/>
    <x v="0"/>
    <n v="10"/>
    <x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x v="1"/>
    <n v="19"/>
    <x v="0"/>
    <n v="2"/>
    <n v="80"/>
    <x v="1"/>
    <n v="14"/>
    <x v="4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x v="1"/>
    <n v="11"/>
    <x v="0"/>
    <n v="3"/>
    <n v="80"/>
    <x v="1"/>
    <n v="5"/>
    <x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x v="1"/>
    <n v="21"/>
    <x v="1"/>
    <n v="3"/>
    <n v="80"/>
    <x v="0"/>
    <n v="9"/>
    <x v="1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x v="1"/>
    <n v="15"/>
    <x v="0"/>
    <n v="3"/>
    <n v="80"/>
    <x v="0"/>
    <n v="6"/>
    <x v="1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x v="1"/>
    <n v="17"/>
    <x v="0"/>
    <n v="4"/>
    <n v="80"/>
    <x v="1"/>
    <n v="7"/>
    <x v="3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x v="1"/>
    <n v="18"/>
    <x v="0"/>
    <n v="3"/>
    <n v="80"/>
    <x v="3"/>
    <n v="10"/>
    <x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x v="1"/>
    <n v="14"/>
    <x v="0"/>
    <n v="3"/>
    <n v="80"/>
    <x v="1"/>
    <n v="15"/>
    <x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x v="1"/>
    <n v="13"/>
    <x v="0"/>
    <n v="4"/>
    <n v="80"/>
    <x v="2"/>
    <n v="13"/>
    <x v="1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x v="1"/>
    <n v="17"/>
    <x v="0"/>
    <n v="3"/>
    <n v="80"/>
    <x v="1"/>
    <n v="11"/>
    <x v="1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x v="1"/>
    <n v="15"/>
    <x v="0"/>
    <n v="2"/>
    <n v="80"/>
    <x v="0"/>
    <n v="10"/>
    <x v="5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x v="1"/>
    <n v="18"/>
    <x v="0"/>
    <n v="4"/>
    <n v="80"/>
    <x v="1"/>
    <n v="7"/>
    <x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x v="1"/>
    <n v="13"/>
    <x v="0"/>
    <n v="3"/>
    <n v="80"/>
    <x v="0"/>
    <n v="7"/>
    <x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x v="1"/>
    <n v="12"/>
    <x v="0"/>
    <n v="1"/>
    <n v="80"/>
    <x v="0"/>
    <n v="11"/>
    <x v="1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x v="0"/>
    <n v="13"/>
    <x v="0"/>
    <n v="4"/>
    <n v="80"/>
    <x v="1"/>
    <n v="23"/>
    <x v="1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x v="1"/>
    <n v="14"/>
    <x v="0"/>
    <n v="2"/>
    <n v="80"/>
    <x v="0"/>
    <n v="9"/>
    <x v="1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x v="0"/>
    <n v="11"/>
    <x v="0"/>
    <n v="3"/>
    <n v="80"/>
    <x v="0"/>
    <n v="6"/>
    <x v="1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x v="1"/>
    <n v="22"/>
    <x v="1"/>
    <n v="4"/>
    <n v="80"/>
    <x v="1"/>
    <n v="13"/>
    <x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x v="1"/>
    <n v="17"/>
    <x v="0"/>
    <n v="4"/>
    <n v="80"/>
    <x v="1"/>
    <n v="12"/>
    <x v="1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x v="1"/>
    <n v="21"/>
    <x v="1"/>
    <n v="3"/>
    <n v="80"/>
    <x v="3"/>
    <n v="10"/>
    <x v="3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x v="1"/>
    <n v="22"/>
    <x v="1"/>
    <n v="4"/>
    <n v="80"/>
    <x v="1"/>
    <n v="37"/>
    <x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x v="1"/>
    <n v="16"/>
    <x v="0"/>
    <n v="2"/>
    <n v="80"/>
    <x v="1"/>
    <n v="6"/>
    <x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x v="0"/>
    <n v="12"/>
    <x v="0"/>
    <n v="3"/>
    <n v="80"/>
    <x v="1"/>
    <n v="28"/>
    <x v="5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x v="1"/>
    <n v="12"/>
    <x v="0"/>
    <n v="2"/>
    <n v="80"/>
    <x v="1"/>
    <n v="15"/>
    <x v="1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x v="1"/>
    <n v="15"/>
    <x v="0"/>
    <n v="2"/>
    <n v="80"/>
    <x v="1"/>
    <n v="14"/>
    <x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x v="1"/>
    <n v="14"/>
    <x v="0"/>
    <n v="4"/>
    <n v="80"/>
    <x v="3"/>
    <n v="9"/>
    <x v="1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x v="1"/>
    <n v="25"/>
    <x v="1"/>
    <n v="3"/>
    <n v="80"/>
    <x v="1"/>
    <n v="3"/>
    <x v="1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x v="0"/>
    <n v="20"/>
    <x v="1"/>
    <n v="1"/>
    <n v="80"/>
    <x v="3"/>
    <n v="20"/>
    <x v="5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x v="1"/>
    <n v="13"/>
    <x v="0"/>
    <n v="1"/>
    <n v="80"/>
    <x v="0"/>
    <n v="5"/>
    <x v="5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x v="0"/>
    <n v="14"/>
    <x v="0"/>
    <n v="2"/>
    <n v="80"/>
    <x v="0"/>
    <n v="23"/>
    <x v="1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x v="1"/>
    <n v="16"/>
    <x v="0"/>
    <n v="3"/>
    <n v="80"/>
    <x v="0"/>
    <n v="0"/>
    <x v="5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x v="1"/>
    <n v="17"/>
    <x v="0"/>
    <n v="3"/>
    <n v="80"/>
    <x v="0"/>
    <n v="2"/>
    <x v="5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x v="0"/>
    <n v="15"/>
    <x v="0"/>
    <n v="4"/>
    <n v="80"/>
    <x v="2"/>
    <n v="4"/>
    <x v="1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x v="1"/>
    <n v="22"/>
    <x v="1"/>
    <n v="2"/>
    <n v="80"/>
    <x v="3"/>
    <n v="10"/>
    <x v="1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x v="0"/>
    <n v="22"/>
    <x v="1"/>
    <n v="4"/>
    <n v="80"/>
    <x v="1"/>
    <n v="15"/>
    <x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x v="1"/>
    <n v="20"/>
    <x v="1"/>
    <n v="3"/>
    <n v="80"/>
    <x v="1"/>
    <n v="7"/>
    <x v="3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x v="0"/>
    <n v="14"/>
    <x v="0"/>
    <n v="3"/>
    <n v="80"/>
    <x v="0"/>
    <n v="6"/>
    <x v="1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x v="1"/>
    <n v="13"/>
    <x v="0"/>
    <n v="2"/>
    <n v="80"/>
    <x v="0"/>
    <n v="11"/>
    <x v="1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x v="1"/>
    <n v="13"/>
    <x v="0"/>
    <n v="3"/>
    <n v="80"/>
    <x v="0"/>
    <n v="4"/>
    <x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x v="1"/>
    <n v="22"/>
    <x v="1"/>
    <n v="2"/>
    <n v="80"/>
    <x v="3"/>
    <n v="10"/>
    <x v="4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x v="1"/>
    <n v="12"/>
    <x v="0"/>
    <n v="3"/>
    <n v="80"/>
    <x v="0"/>
    <n v="7"/>
    <x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x v="1"/>
    <n v="14"/>
    <x v="0"/>
    <n v="3"/>
    <n v="80"/>
    <x v="1"/>
    <n v="12"/>
    <x v="5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x v="1"/>
    <n v="15"/>
    <x v="0"/>
    <n v="2"/>
    <n v="80"/>
    <x v="1"/>
    <n v="3"/>
    <x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x v="1"/>
    <n v="17"/>
    <x v="0"/>
    <n v="4"/>
    <n v="80"/>
    <x v="3"/>
    <n v="11"/>
    <x v="1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x v="1"/>
    <n v="13"/>
    <x v="0"/>
    <n v="4"/>
    <n v="80"/>
    <x v="0"/>
    <n v="8"/>
    <x v="1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x v="0"/>
    <n v="12"/>
    <x v="0"/>
    <n v="3"/>
    <n v="80"/>
    <x v="0"/>
    <n v="7"/>
    <x v="1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x v="1"/>
    <n v="12"/>
    <x v="0"/>
    <n v="4"/>
    <n v="80"/>
    <x v="1"/>
    <n v="25"/>
    <x v="3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x v="1"/>
    <n v="21"/>
    <x v="1"/>
    <n v="4"/>
    <n v="80"/>
    <x v="1"/>
    <n v="9"/>
    <x v="3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x v="1"/>
    <n v="11"/>
    <x v="0"/>
    <n v="4"/>
    <n v="80"/>
    <x v="0"/>
    <n v="1"/>
    <x v="1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x v="1"/>
    <n v="13"/>
    <x v="0"/>
    <n v="4"/>
    <n v="80"/>
    <x v="0"/>
    <n v="21"/>
    <x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x v="1"/>
    <n v="12"/>
    <x v="0"/>
    <n v="4"/>
    <n v="80"/>
    <x v="0"/>
    <n v="29"/>
    <x v="1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x v="0"/>
    <n v="24"/>
    <x v="1"/>
    <n v="2"/>
    <n v="80"/>
    <x v="0"/>
    <n v="1"/>
    <x v="1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x v="1"/>
    <n v="21"/>
    <x v="1"/>
    <n v="3"/>
    <n v="80"/>
    <x v="2"/>
    <n v="14"/>
    <x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x v="1"/>
    <n v="19"/>
    <x v="0"/>
    <n v="4"/>
    <n v="80"/>
    <x v="1"/>
    <n v="8"/>
    <x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x v="1"/>
    <n v="14"/>
    <x v="0"/>
    <n v="2"/>
    <n v="80"/>
    <x v="2"/>
    <n v="7"/>
    <x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x v="1"/>
    <n v="20"/>
    <x v="1"/>
    <n v="2"/>
    <n v="80"/>
    <x v="1"/>
    <n v="19"/>
    <x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x v="1"/>
    <n v="19"/>
    <x v="0"/>
    <n v="4"/>
    <n v="80"/>
    <x v="1"/>
    <n v="1"/>
    <x v="1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x v="1"/>
    <n v="13"/>
    <x v="0"/>
    <n v="3"/>
    <n v="80"/>
    <x v="0"/>
    <n v="1"/>
    <x v="1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x v="0"/>
    <n v="23"/>
    <x v="1"/>
    <n v="1"/>
    <n v="80"/>
    <x v="0"/>
    <n v="1"/>
    <x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x v="0"/>
    <n v="13"/>
    <x v="0"/>
    <n v="1"/>
    <n v="80"/>
    <x v="1"/>
    <n v="10"/>
    <x v="5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x v="1"/>
    <n v="11"/>
    <x v="0"/>
    <n v="1"/>
    <n v="80"/>
    <x v="1"/>
    <n v="10"/>
    <x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x v="0"/>
    <n v="13"/>
    <x v="0"/>
    <n v="4"/>
    <n v="80"/>
    <x v="2"/>
    <n v="9"/>
    <x v="1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x v="1"/>
    <n v="14"/>
    <x v="0"/>
    <n v="2"/>
    <n v="80"/>
    <x v="0"/>
    <n v="11"/>
    <x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x v="0"/>
    <n v="22"/>
    <x v="1"/>
    <n v="3"/>
    <n v="80"/>
    <x v="1"/>
    <n v="16"/>
    <x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x v="0"/>
    <n v="11"/>
    <x v="0"/>
    <n v="4"/>
    <n v="80"/>
    <x v="0"/>
    <n v="4"/>
    <x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x v="1"/>
    <n v="13"/>
    <x v="0"/>
    <n v="4"/>
    <n v="80"/>
    <x v="3"/>
    <n v="10"/>
    <x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x v="1"/>
    <n v="21"/>
    <x v="1"/>
    <n v="4"/>
    <n v="80"/>
    <x v="0"/>
    <n v="10"/>
    <x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x v="1"/>
    <n v="11"/>
    <x v="0"/>
    <n v="1"/>
    <n v="80"/>
    <x v="1"/>
    <n v="22"/>
    <x v="1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x v="0"/>
    <n v="13"/>
    <x v="0"/>
    <n v="3"/>
    <n v="80"/>
    <x v="1"/>
    <n v="1"/>
    <x v="1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x v="1"/>
    <n v="14"/>
    <x v="0"/>
    <n v="2"/>
    <n v="80"/>
    <x v="0"/>
    <n v="9"/>
    <x v="3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x v="1"/>
    <n v="11"/>
    <x v="0"/>
    <n v="2"/>
    <n v="80"/>
    <x v="1"/>
    <n v="24"/>
    <x v="1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x v="1"/>
    <n v="15"/>
    <x v="0"/>
    <n v="4"/>
    <n v="80"/>
    <x v="1"/>
    <n v="10"/>
    <x v="3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x v="0"/>
    <n v="23"/>
    <x v="1"/>
    <n v="2"/>
    <n v="80"/>
    <x v="1"/>
    <n v="5"/>
    <x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x v="1"/>
    <n v="16"/>
    <x v="0"/>
    <n v="4"/>
    <n v="80"/>
    <x v="0"/>
    <n v="5"/>
    <x v="1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x v="1"/>
    <n v="16"/>
    <x v="0"/>
    <n v="3"/>
    <n v="80"/>
    <x v="3"/>
    <n v="12"/>
    <x v="4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x v="1"/>
    <n v="21"/>
    <x v="1"/>
    <n v="3"/>
    <n v="80"/>
    <x v="1"/>
    <n v="14"/>
    <x v="1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x v="1"/>
    <n v="13"/>
    <x v="0"/>
    <n v="2"/>
    <n v="80"/>
    <x v="1"/>
    <n v="18"/>
    <x v="1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x v="0"/>
    <n v="11"/>
    <x v="0"/>
    <n v="4"/>
    <n v="80"/>
    <x v="1"/>
    <n v="8"/>
    <x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x v="0"/>
    <n v="12"/>
    <x v="0"/>
    <n v="3"/>
    <n v="80"/>
    <x v="0"/>
    <n v="9"/>
    <x v="1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x v="1"/>
    <n v="12"/>
    <x v="0"/>
    <n v="2"/>
    <n v="80"/>
    <x v="1"/>
    <n v="4"/>
    <x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x v="1"/>
    <n v="18"/>
    <x v="0"/>
    <n v="1"/>
    <n v="80"/>
    <x v="1"/>
    <n v="8"/>
    <x v="1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x v="1"/>
    <n v="12"/>
    <x v="0"/>
    <n v="3"/>
    <n v="80"/>
    <x v="0"/>
    <n v="12"/>
    <x v="1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x v="1"/>
    <n v="14"/>
    <x v="0"/>
    <n v="2"/>
    <n v="80"/>
    <x v="0"/>
    <n v="10"/>
    <x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x v="0"/>
    <n v="12"/>
    <x v="0"/>
    <n v="3"/>
    <n v="80"/>
    <x v="1"/>
    <n v="7"/>
    <x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x v="1"/>
    <n v="17"/>
    <x v="0"/>
    <n v="4"/>
    <n v="80"/>
    <x v="0"/>
    <n v="1"/>
    <x v="1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x v="1"/>
    <n v="19"/>
    <x v="0"/>
    <n v="3"/>
    <n v="80"/>
    <x v="1"/>
    <n v="10"/>
    <x v="4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x v="1"/>
    <n v="11"/>
    <x v="0"/>
    <n v="3"/>
    <n v="80"/>
    <x v="1"/>
    <n v="6"/>
    <x v="1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x v="0"/>
    <n v="15"/>
    <x v="0"/>
    <n v="2"/>
    <n v="80"/>
    <x v="0"/>
    <n v="16"/>
    <x v="1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x v="0"/>
    <n v="11"/>
    <x v="0"/>
    <n v="4"/>
    <n v="80"/>
    <x v="0"/>
    <n v="6"/>
    <x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x v="1"/>
    <n v="18"/>
    <x v="0"/>
    <n v="3"/>
    <n v="80"/>
    <x v="1"/>
    <n v="16"/>
    <x v="5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x v="1"/>
    <n v="16"/>
    <x v="0"/>
    <n v="3"/>
    <n v="80"/>
    <x v="1"/>
    <n v="6"/>
    <x v="1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x v="1"/>
    <n v="25"/>
    <x v="1"/>
    <n v="4"/>
    <n v="80"/>
    <x v="1"/>
    <n v="10"/>
    <x v="1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x v="0"/>
    <n v="16"/>
    <x v="0"/>
    <n v="3"/>
    <n v="80"/>
    <x v="1"/>
    <n v="20"/>
    <x v="1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x v="0"/>
    <n v="13"/>
    <x v="0"/>
    <n v="3"/>
    <n v="80"/>
    <x v="1"/>
    <n v="29"/>
    <x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x v="0"/>
    <n v="14"/>
    <x v="0"/>
    <n v="1"/>
    <n v="80"/>
    <x v="0"/>
    <n v="8"/>
    <x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x v="1"/>
    <n v="19"/>
    <x v="0"/>
    <n v="4"/>
    <n v="80"/>
    <x v="3"/>
    <n v="10"/>
    <x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x v="1"/>
    <n v="15"/>
    <x v="0"/>
    <n v="4"/>
    <n v="80"/>
    <x v="0"/>
    <n v="28"/>
    <x v="1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x v="0"/>
    <n v="12"/>
    <x v="0"/>
    <n v="3"/>
    <n v="80"/>
    <x v="3"/>
    <n v="14"/>
    <x v="5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x v="1"/>
    <n v="12"/>
    <x v="0"/>
    <n v="1"/>
    <n v="80"/>
    <x v="0"/>
    <n v="1"/>
    <x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x v="1"/>
    <n v="16"/>
    <x v="0"/>
    <n v="4"/>
    <n v="80"/>
    <x v="1"/>
    <n v="6"/>
    <x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x v="1"/>
    <n v="14"/>
    <x v="0"/>
    <n v="3"/>
    <n v="80"/>
    <x v="0"/>
    <n v="5"/>
    <x v="1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x v="0"/>
    <n v="13"/>
    <x v="0"/>
    <n v="4"/>
    <n v="80"/>
    <x v="1"/>
    <n v="4"/>
    <x v="1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x v="1"/>
    <n v="22"/>
    <x v="1"/>
    <n v="2"/>
    <n v="80"/>
    <x v="0"/>
    <n v="5"/>
    <x v="1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x v="1"/>
    <n v="21"/>
    <x v="1"/>
    <n v="1"/>
    <n v="80"/>
    <x v="0"/>
    <n v="14"/>
    <x v="1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x v="1"/>
    <n v="18"/>
    <x v="0"/>
    <n v="3"/>
    <n v="80"/>
    <x v="1"/>
    <n v="9"/>
    <x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x v="1"/>
    <n v="13"/>
    <x v="0"/>
    <n v="4"/>
    <n v="80"/>
    <x v="0"/>
    <n v="8"/>
    <x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x v="1"/>
    <n v="12"/>
    <x v="0"/>
    <n v="1"/>
    <n v="80"/>
    <x v="1"/>
    <n v="6"/>
    <x v="3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x v="1"/>
    <n v="18"/>
    <x v="0"/>
    <n v="2"/>
    <n v="80"/>
    <x v="1"/>
    <n v="9"/>
    <x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x v="1"/>
    <n v="21"/>
    <x v="1"/>
    <n v="2"/>
    <n v="80"/>
    <x v="0"/>
    <n v="10"/>
    <x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x v="1"/>
    <n v="12"/>
    <x v="0"/>
    <n v="1"/>
    <n v="80"/>
    <x v="1"/>
    <n v="6"/>
    <x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x v="1"/>
    <n v="14"/>
    <x v="0"/>
    <n v="1"/>
    <n v="80"/>
    <x v="0"/>
    <n v="20"/>
    <x v="1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x v="0"/>
    <n v="11"/>
    <x v="0"/>
    <n v="4"/>
    <n v="80"/>
    <x v="0"/>
    <n v="10"/>
    <x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x v="1"/>
    <n v="14"/>
    <x v="0"/>
    <n v="1"/>
    <n v="80"/>
    <x v="0"/>
    <n v="7"/>
    <x v="3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x v="1"/>
    <n v="24"/>
    <x v="1"/>
    <n v="2"/>
    <n v="80"/>
    <x v="0"/>
    <n v="8"/>
    <x v="4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x v="0"/>
    <n v="11"/>
    <x v="0"/>
    <n v="3"/>
    <n v="80"/>
    <x v="0"/>
    <n v="10"/>
    <x v="5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x v="0"/>
    <n v="13"/>
    <x v="0"/>
    <n v="2"/>
    <n v="80"/>
    <x v="0"/>
    <n v="15"/>
    <x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x v="1"/>
    <n v="11"/>
    <x v="0"/>
    <n v="3"/>
    <n v="80"/>
    <x v="3"/>
    <n v="9"/>
    <x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x v="1"/>
    <n v="20"/>
    <x v="1"/>
    <n v="3"/>
    <n v="80"/>
    <x v="2"/>
    <n v="9"/>
    <x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x v="1"/>
    <n v="17"/>
    <x v="0"/>
    <n v="2"/>
    <n v="80"/>
    <x v="1"/>
    <n v="10"/>
    <x v="4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x v="0"/>
    <n v="11"/>
    <x v="0"/>
    <n v="2"/>
    <n v="80"/>
    <x v="1"/>
    <n v="7"/>
    <x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x v="0"/>
    <n v="18"/>
    <x v="0"/>
    <n v="1"/>
    <n v="80"/>
    <x v="1"/>
    <n v="35"/>
    <x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x v="0"/>
    <n v="11"/>
    <x v="0"/>
    <n v="3"/>
    <n v="80"/>
    <x v="2"/>
    <n v="1"/>
    <x v="5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x v="1"/>
    <n v="12"/>
    <x v="0"/>
    <n v="1"/>
    <n v="80"/>
    <x v="0"/>
    <n v="21"/>
    <x v="1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x v="1"/>
    <n v="12"/>
    <x v="0"/>
    <n v="4"/>
    <n v="80"/>
    <x v="0"/>
    <n v="20"/>
    <x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x v="1"/>
    <n v="20"/>
    <x v="1"/>
    <n v="3"/>
    <n v="80"/>
    <x v="1"/>
    <n v="13"/>
    <x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x v="0"/>
    <n v="19"/>
    <x v="0"/>
    <n v="4"/>
    <n v="80"/>
    <x v="0"/>
    <n v="9"/>
    <x v="1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x v="1"/>
    <n v="12"/>
    <x v="0"/>
    <n v="2"/>
    <n v="80"/>
    <x v="0"/>
    <n v="4"/>
    <x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x v="1"/>
    <n v="13"/>
    <x v="0"/>
    <n v="3"/>
    <n v="80"/>
    <x v="0"/>
    <n v="5"/>
    <x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x v="1"/>
    <n v="11"/>
    <x v="0"/>
    <n v="1"/>
    <n v="80"/>
    <x v="1"/>
    <n v="10"/>
    <x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x v="1"/>
    <n v="14"/>
    <x v="0"/>
    <n v="3"/>
    <n v="80"/>
    <x v="1"/>
    <n v="15"/>
    <x v="5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x v="1"/>
    <n v="14"/>
    <x v="0"/>
    <n v="3"/>
    <n v="80"/>
    <x v="0"/>
    <n v="6"/>
    <x v="1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x v="1"/>
    <n v="13"/>
    <x v="0"/>
    <n v="3"/>
    <n v="80"/>
    <x v="0"/>
    <n v="12"/>
    <x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x v="0"/>
    <n v="19"/>
    <x v="0"/>
    <n v="3"/>
    <n v="80"/>
    <x v="1"/>
    <n v="7"/>
    <x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x v="1"/>
    <n v="23"/>
    <x v="1"/>
    <n v="2"/>
    <n v="80"/>
    <x v="0"/>
    <n v="25"/>
    <x v="1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x v="1"/>
    <n v="12"/>
    <x v="0"/>
    <n v="3"/>
    <n v="80"/>
    <x v="2"/>
    <n v="1"/>
    <x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x v="1"/>
    <n v="15"/>
    <x v="0"/>
    <n v="1"/>
    <n v="80"/>
    <x v="3"/>
    <n v="16"/>
    <x v="1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x v="1"/>
    <n v="19"/>
    <x v="0"/>
    <n v="3"/>
    <n v="80"/>
    <x v="1"/>
    <n v="3"/>
    <x v="4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x v="1"/>
    <n v="11"/>
    <x v="0"/>
    <n v="4"/>
    <n v="80"/>
    <x v="1"/>
    <n v="10"/>
    <x v="4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x v="0"/>
    <n v="17"/>
    <x v="0"/>
    <n v="3"/>
    <n v="80"/>
    <x v="1"/>
    <n v="9"/>
    <x v="1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x v="1"/>
    <n v="22"/>
    <x v="1"/>
    <n v="1"/>
    <n v="80"/>
    <x v="1"/>
    <n v="12"/>
    <x v="1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x v="1"/>
    <n v="18"/>
    <x v="0"/>
    <n v="1"/>
    <n v="80"/>
    <x v="3"/>
    <n v="14"/>
    <x v="1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x v="0"/>
    <n v="11"/>
    <x v="0"/>
    <n v="3"/>
    <n v="80"/>
    <x v="1"/>
    <n v="5"/>
    <x v="1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x v="1"/>
    <n v="12"/>
    <x v="0"/>
    <n v="4"/>
    <n v="80"/>
    <x v="0"/>
    <n v="4"/>
    <x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x v="1"/>
    <n v="19"/>
    <x v="0"/>
    <n v="2"/>
    <n v="80"/>
    <x v="0"/>
    <n v="10"/>
    <x v="3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x v="0"/>
    <n v="13"/>
    <x v="0"/>
    <n v="1"/>
    <n v="80"/>
    <x v="1"/>
    <n v="10"/>
    <x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x v="1"/>
    <n v="13"/>
    <x v="0"/>
    <n v="3"/>
    <n v="80"/>
    <x v="0"/>
    <n v="6"/>
    <x v="1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x v="1"/>
    <n v="19"/>
    <x v="0"/>
    <n v="3"/>
    <n v="80"/>
    <x v="3"/>
    <n v="8"/>
    <x v="1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x v="1"/>
    <n v="14"/>
    <x v="0"/>
    <n v="2"/>
    <n v="80"/>
    <x v="1"/>
    <n v="3"/>
    <x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x v="1"/>
    <n v="13"/>
    <x v="0"/>
    <n v="1"/>
    <n v="80"/>
    <x v="0"/>
    <n v="18"/>
    <x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x v="1"/>
    <n v="12"/>
    <x v="0"/>
    <n v="1"/>
    <n v="80"/>
    <x v="1"/>
    <n v="20"/>
    <x v="1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x v="1"/>
    <n v="19"/>
    <x v="0"/>
    <n v="3"/>
    <n v="80"/>
    <x v="3"/>
    <n v="14"/>
    <x v="1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x v="0"/>
    <n v="25"/>
    <x v="1"/>
    <n v="1"/>
    <n v="80"/>
    <x v="1"/>
    <n v="16"/>
    <x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x v="0"/>
    <n v="22"/>
    <x v="1"/>
    <n v="2"/>
    <n v="80"/>
    <x v="1"/>
    <n v="6"/>
    <x v="1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x v="1"/>
    <n v="15"/>
    <x v="0"/>
    <n v="2"/>
    <n v="80"/>
    <x v="3"/>
    <n v="16"/>
    <x v="1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x v="0"/>
    <n v="12"/>
    <x v="0"/>
    <n v="3"/>
    <n v="80"/>
    <x v="0"/>
    <n v="6"/>
    <x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x v="0"/>
    <n v="11"/>
    <x v="0"/>
    <n v="4"/>
    <n v="80"/>
    <x v="0"/>
    <n v="2"/>
    <x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x v="1"/>
    <n v="13"/>
    <x v="0"/>
    <n v="3"/>
    <n v="80"/>
    <x v="0"/>
    <n v="21"/>
    <x v="1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x v="1"/>
    <n v="19"/>
    <x v="0"/>
    <n v="1"/>
    <n v="80"/>
    <x v="1"/>
    <n v="1"/>
    <x v="1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x v="1"/>
    <n v="19"/>
    <x v="0"/>
    <n v="3"/>
    <n v="80"/>
    <x v="3"/>
    <n v="10"/>
    <x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x v="1"/>
    <n v="13"/>
    <x v="0"/>
    <n v="2"/>
    <n v="80"/>
    <x v="2"/>
    <n v="18"/>
    <x v="1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x v="1"/>
    <n v="21"/>
    <x v="1"/>
    <n v="1"/>
    <n v="80"/>
    <x v="1"/>
    <n v="13"/>
    <x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x v="0"/>
    <n v="14"/>
    <x v="0"/>
    <n v="2"/>
    <n v="80"/>
    <x v="2"/>
    <n v="4"/>
    <x v="1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x v="1"/>
    <n v="11"/>
    <x v="0"/>
    <n v="1"/>
    <n v="80"/>
    <x v="0"/>
    <n v="24"/>
    <x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x v="1"/>
    <n v="11"/>
    <x v="0"/>
    <n v="4"/>
    <n v="80"/>
    <x v="1"/>
    <n v="14"/>
    <x v="5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x v="1"/>
    <n v="23"/>
    <x v="1"/>
    <n v="3"/>
    <n v="80"/>
    <x v="1"/>
    <n v="21"/>
    <x v="1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x v="1"/>
    <n v="21"/>
    <x v="1"/>
    <n v="4"/>
    <n v="80"/>
    <x v="3"/>
    <n v="8"/>
    <x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x v="1"/>
    <n v="24"/>
    <x v="1"/>
    <n v="1"/>
    <n v="80"/>
    <x v="1"/>
    <n v="15"/>
    <x v="5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x v="1"/>
    <n v="11"/>
    <x v="0"/>
    <n v="3"/>
    <n v="80"/>
    <x v="1"/>
    <n v="14"/>
    <x v="3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x v="1"/>
    <n v="14"/>
    <x v="0"/>
    <n v="4"/>
    <n v="80"/>
    <x v="0"/>
    <n v="4"/>
    <x v="5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x v="0"/>
    <n v="16"/>
    <x v="0"/>
    <n v="3"/>
    <n v="80"/>
    <x v="0"/>
    <n v="9"/>
    <x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x v="1"/>
    <n v="11"/>
    <x v="0"/>
    <n v="3"/>
    <n v="80"/>
    <x v="1"/>
    <n v="10"/>
    <x v="4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x v="1"/>
    <n v="12"/>
    <x v="0"/>
    <n v="4"/>
    <n v="80"/>
    <x v="3"/>
    <n v="12"/>
    <x v="1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x v="1"/>
    <n v="13"/>
    <x v="0"/>
    <n v="1"/>
    <n v="80"/>
    <x v="1"/>
    <n v="8"/>
    <x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x v="1"/>
    <n v="15"/>
    <x v="0"/>
    <n v="3"/>
    <n v="80"/>
    <x v="0"/>
    <n v="8"/>
    <x v="1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x v="1"/>
    <n v="14"/>
    <x v="0"/>
    <n v="4"/>
    <n v="80"/>
    <x v="0"/>
    <n v="8"/>
    <x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x v="0"/>
    <n v="14"/>
    <x v="0"/>
    <n v="4"/>
    <n v="80"/>
    <x v="3"/>
    <n v="10"/>
    <x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x v="1"/>
    <n v="14"/>
    <x v="0"/>
    <n v="2"/>
    <n v="80"/>
    <x v="2"/>
    <n v="20"/>
    <x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x v="1"/>
    <n v="12"/>
    <x v="0"/>
    <n v="4"/>
    <n v="80"/>
    <x v="1"/>
    <n v="4"/>
    <x v="3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x v="0"/>
    <n v="13"/>
    <x v="0"/>
    <n v="1"/>
    <n v="80"/>
    <x v="1"/>
    <n v="10"/>
    <x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x v="1"/>
    <n v="14"/>
    <x v="0"/>
    <n v="2"/>
    <n v="80"/>
    <x v="0"/>
    <n v="5"/>
    <x v="1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x v="0"/>
    <n v="13"/>
    <x v="0"/>
    <n v="2"/>
    <n v="80"/>
    <x v="1"/>
    <n v="20"/>
    <x v="1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x v="1"/>
    <n v="11"/>
    <x v="0"/>
    <n v="1"/>
    <n v="80"/>
    <x v="1"/>
    <n v="21"/>
    <x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x v="1"/>
    <n v="19"/>
    <x v="0"/>
    <n v="2"/>
    <n v="80"/>
    <x v="0"/>
    <n v="10"/>
    <x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x v="1"/>
    <n v="18"/>
    <x v="0"/>
    <n v="4"/>
    <n v="80"/>
    <x v="0"/>
    <n v="5"/>
    <x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x v="1"/>
    <n v="17"/>
    <x v="0"/>
    <n v="3"/>
    <n v="80"/>
    <x v="1"/>
    <n v="17"/>
    <x v="1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x v="1"/>
    <n v="15"/>
    <x v="0"/>
    <n v="1"/>
    <n v="80"/>
    <x v="1"/>
    <n v="9"/>
    <x v="3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x v="0"/>
    <n v="20"/>
    <x v="1"/>
    <n v="2"/>
    <n v="80"/>
    <x v="1"/>
    <n v="6"/>
    <x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x v="1"/>
    <n v="14"/>
    <x v="0"/>
    <n v="4"/>
    <n v="80"/>
    <x v="0"/>
    <n v="17"/>
    <x v="1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x v="1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5709F-DDE0-4AFE-AD33-C64BE62592CC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4:AL7" firstHeaderRow="1" firstDataRow="1" firstDataCol="1"/>
  <pivotFields count="35">
    <pivotField showAll="0"/>
    <pivotField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24" baseItem="0" numFmtId="1"/>
  </dataFields>
  <formats count="7">
    <format dxfId="288">
      <pivotArea outline="0" collapsedLevelsAreSubtotals="1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22" type="button" dataOnly="0" labelOnly="1" outline="0" axis="axisRow" fieldPosition="0"/>
    </format>
    <format dxfId="240">
      <pivotArea dataOnly="0" labelOnly="1" fieldPosition="0">
        <references count="1">
          <reference field="22" count="0"/>
        </references>
      </pivotArea>
    </format>
    <format dxfId="239">
      <pivotArea dataOnly="0" labelOnly="1" grandRow="1" outline="0" fieldPosition="0"/>
    </format>
    <format dxfId="2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BCBF6-90C0-4EFC-8700-FE0C8967AF04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4:AI7" firstHeaderRow="1" firstDataRow="1" firstDataCol="1"/>
  <pivotFields count="35">
    <pivotField showAll="0"/>
    <pivotField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24" baseItem="0" numFmtId="1"/>
  </dataFields>
  <formats count="7">
    <format dxfId="289">
      <pivotArea outline="0" collapsedLevelsAreSubtotals="1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24" type="button" dataOnly="0" labelOnly="1" outline="0" axis="axisRow" fieldPosition="0"/>
    </format>
    <format dxfId="246">
      <pivotArea dataOnly="0" labelOnly="1" fieldPosition="0">
        <references count="1">
          <reference field="24" count="0"/>
        </references>
      </pivotArea>
    </format>
    <format dxfId="245">
      <pivotArea dataOnly="0" labelOnly="1" grandRow="1" outline="0" fieldPosition="0"/>
    </format>
    <format dxfId="2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0D19D-1EAA-41C1-BEC1-2C3E044672DA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V6" firstHeaderRow="1" firstDataRow="1" firstDataCol="1"/>
  <pivotFields count="35"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Average of MonthlyIncome" fld="18" subtotal="average" baseField="1" baseItem="1"/>
  </dataFields>
  <formats count="7">
    <format dxfId="291">
      <pivotArea outline="0" collapsedLevelsAreSubtotals="1" fieldPosition="0"/>
    </format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1" type="button" dataOnly="0" labelOnly="1" outline="0" axis="axisRow" fieldPosition="0"/>
    </format>
    <format dxfId="252">
      <pivotArea dataOnly="0" labelOnly="1" fieldPosition="0">
        <references count="1">
          <reference field="1" count="0"/>
        </references>
      </pivotArea>
    </format>
    <format dxfId="251">
      <pivotArea dataOnly="0" labelOnly="1" grandRow="1" outline="0" fieldPosition="0"/>
    </format>
    <format dxfId="2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DE05F-5B21-4FB7-8B8C-1B50C3B980C2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S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11" baseItem="0"/>
  </dataFields>
  <formats count="11">
    <format dxfId="292">
      <pivotArea outline="0" collapsedLevelsAreSubtotals="1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type="origin" dataOnly="0" labelOnly="1" outline="0" fieldPosition="0"/>
    </format>
    <format dxfId="262">
      <pivotArea field="1" type="button" dataOnly="0" labelOnly="1" outline="0" axis="axisCol" fieldPosition="0"/>
    </format>
    <format dxfId="261">
      <pivotArea type="topRight" dataOnly="0" labelOnly="1" outline="0" fieldPosition="0"/>
    </format>
    <format dxfId="260">
      <pivotArea field="11" type="button" dataOnly="0" labelOnly="1" outline="0" axis="axisRow" fieldPosition="0"/>
    </format>
    <format dxfId="259">
      <pivotArea dataOnly="0" labelOnly="1" fieldPosition="0">
        <references count="1">
          <reference field="11" count="0"/>
        </references>
      </pivotArea>
    </format>
    <format dxfId="258">
      <pivotArea dataOnly="0" labelOnly="1" grandRow="1" outline="0" fieldPosition="0"/>
    </format>
    <format dxfId="257">
      <pivotArea dataOnly="0" labelOnly="1" fieldPosition="0">
        <references count="1">
          <reference field="1" count="0"/>
        </references>
      </pivotArea>
    </format>
    <format dxfId="2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5C354-6547-4715-99ED-A12155A5CD33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14" firstHeaderRow="1" firstDataRow="1" firstDataCol="1"/>
  <pivotFields count="35">
    <pivotField showAll="0"/>
    <pivotField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formats count="7">
    <format dxfId="293">
      <pivotArea outline="0" collapsedLevelsAreSubtotals="1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15" type="button" dataOnly="0" labelOnly="1" outline="0" axis="axisRow" fieldPosition="0"/>
    </format>
    <format dxfId="268">
      <pivotArea dataOnly="0" labelOnly="1" fieldPosition="0">
        <references count="1">
          <reference field="15" count="0"/>
        </references>
      </pivotArea>
    </format>
    <format dxfId="267">
      <pivotArea dataOnly="0" labelOnly="1" grandRow="1" outline="0" fieldPosition="0"/>
    </format>
    <format dxfId="2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98B7C-1545-457F-A2E0-48FDC4E80D2F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6" firstHeaderRow="1" firstDataRow="1" firstDataCol="1"/>
  <pivotFields count="35">
    <pivotField dataField="1"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Average of Age" fld="0" subtotal="average" baseField="1" baseItem="0" numFmtId="2"/>
  </dataFields>
  <formats count="7">
    <format dxfId="294">
      <pivotArea outline="0" collapsedLevelsAreSubtotals="1" fieldPosition="0"/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1" type="button" dataOnly="0" labelOnly="1" outline="0" axis="axisRow" fieldPosition="0"/>
    </format>
    <format dxfId="274">
      <pivotArea dataOnly="0" labelOnly="1" fieldPosition="0">
        <references count="1">
          <reference field="1" count="0"/>
        </references>
      </pivotArea>
    </format>
    <format dxfId="273">
      <pivotArea dataOnly="0" labelOnly="1" grandRow="1" outline="0" fieldPosition="0"/>
    </format>
    <format dxfId="2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277F6-B420-4F7D-941F-6C4D5F3FEFBA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9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formats count="10"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" type="button" dataOnly="0" labelOnly="1" outline="0" axis="axisCol" fieldPosition="0"/>
    </format>
    <format dxfId="283">
      <pivotArea type="topRight" dataOnly="0" labelOnly="1" outline="0" fieldPosition="0"/>
    </format>
    <format dxfId="282">
      <pivotArea field="4" type="button" dataOnly="0" labelOnly="1" outline="0" axis="axisRow" fieldPosition="0"/>
    </format>
    <format dxfId="281">
      <pivotArea dataOnly="0" labelOnly="1" fieldPosition="0">
        <references count="1">
          <reference field="4" count="0"/>
        </references>
      </pivotArea>
    </format>
    <format dxfId="280">
      <pivotArea dataOnly="0" labelOnly="1" grandRow="1" outline="0" fieldPosition="0"/>
    </format>
    <format dxfId="279">
      <pivotArea dataOnly="0" labelOnly="1" fieldPosition="0">
        <references count="1">
          <reference field="1" count="0"/>
        </references>
      </pivotArea>
    </format>
    <format dxfId="27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43388-889B-4825-A848-EE22DC12425C}" name="PivotTable2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A4:BB8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 numFmtId="2"/>
  </dataFields>
  <formats count="15">
    <format dxfId="170">
      <pivotArea type="all" dataOnly="0" outline="0" fieldPosition="0"/>
    </format>
    <format dxfId="171">
      <pivotArea outline="0" collapsedLevelsAreSubtotals="1" fieldPosition="0"/>
    </format>
    <format dxfId="172">
      <pivotArea type="origin" dataOnly="0" labelOnly="1" outline="0" fieldPosition="0"/>
    </format>
    <format dxfId="173">
      <pivotArea field="1" type="button" dataOnly="0" labelOnly="1" outline="0"/>
    </format>
    <format dxfId="174">
      <pivotArea type="topRight" dataOnly="0" labelOnly="1" outline="0" fieldPosition="0"/>
    </format>
    <format dxfId="175">
      <pivotArea field="4" type="button" dataOnly="0" labelOnly="1" outline="0"/>
    </format>
    <format dxfId="176">
      <pivotArea dataOnly="0" labelOnly="1" grandRow="1" outline="0" fieldPosition="0"/>
    </format>
    <format dxfId="177">
      <pivotArea dataOnly="0" labelOnly="1" grandCol="1" outline="0" fieldPosition="0"/>
    </format>
    <format dxfId="28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3FE05-B618-45AF-9713-1D451BA27908}" name="PivotTable1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4:AP10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3" baseItem="0" numFmtId="10"/>
  </dataFields>
  <formats count="20">
    <format dxfId="198">
      <pivotArea type="all" dataOnly="0" outline="0" fieldPosition="0"/>
    </format>
    <format dxfId="199">
      <pivotArea outline="0" collapsedLevelsAreSubtotals="1" fieldPosition="0"/>
    </format>
    <format dxfId="200">
      <pivotArea type="origin" dataOnly="0" labelOnly="1" outline="0" fieldPosition="0"/>
    </format>
    <format dxfId="201">
      <pivotArea field="1" type="button" dataOnly="0" labelOnly="1" outline="0" axis="axisCol" fieldPosition="0"/>
    </format>
    <format dxfId="202">
      <pivotArea type="topRight" dataOnly="0" labelOnly="1" outline="0" fieldPosition="0"/>
    </format>
    <format dxfId="203">
      <pivotArea field="4" type="button" dataOnly="0" labelOnly="1" outline="0"/>
    </format>
    <format dxfId="204">
      <pivotArea dataOnly="0" labelOnly="1" grandRow="1" outline="0" fieldPosition="0"/>
    </format>
    <format dxfId="205">
      <pivotArea dataOnly="0" labelOnly="1" fieldPosition="0">
        <references count="1">
          <reference field="1" count="0"/>
        </references>
      </pivotArea>
    </format>
    <format dxfId="206">
      <pivotArea dataOnly="0" labelOnly="1" grandCol="1" outline="0" fieldPosition="0"/>
    </format>
    <format dxfId="207">
      <pivotArea outline="0" fieldPosition="0">
        <references count="1">
          <reference field="4294967294" count="1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27" type="button" dataOnly="0" labelOnly="1" outline="0" axis="axisRow" fieldPosition="0"/>
    </format>
    <format dxfId="20">
      <pivotArea dataOnly="0" labelOnly="1" fieldPosition="0">
        <references count="1">
          <reference field="27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0A690-6FC3-4468-891B-10257ACA74A1}" name="PivotTable1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4:AB1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3" baseItem="0" numFmtId="10"/>
  </dataFields>
  <formats count="20">
    <format dxfId="208">
      <pivotArea type="all" dataOnly="0" outline="0" fieldPosition="0"/>
    </format>
    <format dxfId="209">
      <pivotArea outline="0" collapsedLevelsAreSubtotals="1" fieldPosition="0"/>
    </format>
    <format dxfId="210">
      <pivotArea type="origin" dataOnly="0" labelOnly="1" outline="0" fieldPosition="0"/>
    </format>
    <format dxfId="211">
      <pivotArea field="1" type="button" dataOnly="0" labelOnly="1" outline="0" axis="axisCol" fieldPosition="0"/>
    </format>
    <format dxfId="212">
      <pivotArea type="topRight" dataOnly="0" labelOnly="1" outline="0" fieldPosition="0"/>
    </format>
    <format dxfId="213">
      <pivotArea field="4" type="button" dataOnly="0" labelOnly="1" outline="0"/>
    </format>
    <format dxfId="214">
      <pivotArea dataOnly="0" labelOnly="1" grandRow="1" outline="0" fieldPosition="0"/>
    </format>
    <format dxfId="215">
      <pivotArea dataOnly="0" labelOnly="1" fieldPosition="0">
        <references count="1">
          <reference field="1" count="0"/>
        </references>
      </pivotArea>
    </format>
    <format dxfId="216">
      <pivotArea dataOnly="0" labelOnly="1" grandCol="1" outline="0" fieldPosition="0"/>
    </format>
    <format dxfId="217">
      <pivotArea outline="0" fieldPosition="0">
        <references count="1">
          <reference field="4294967294" count="1">
            <x v="0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9" type="button" dataOnly="0" labelOnly="1" outline="0" axis="axisRow" fieldPosition="0"/>
    </format>
    <format dxfId="3">
      <pivotArea dataOnly="0" labelOnly="1" fieldPosition="0">
        <references count="1">
          <reference field="2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9055D-9DC8-45F2-941B-2F11E00DC37C}" name="PivotTable1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3" baseItem="0" numFmtId="10"/>
  </dataFields>
  <formats count="10">
    <format dxfId="218">
      <pivotArea type="all" dataOnly="0" outline="0" fieldPosition="0"/>
    </format>
    <format dxfId="219">
      <pivotArea outline="0" collapsedLevelsAreSubtotals="1" fieldPosition="0"/>
    </format>
    <format dxfId="220">
      <pivotArea type="origin" dataOnly="0" labelOnly="1" outline="0" fieldPosition="0"/>
    </format>
    <format dxfId="221">
      <pivotArea field="1" type="button" dataOnly="0" labelOnly="1" outline="0" axis="axisCol" fieldPosition="0"/>
    </format>
    <format dxfId="222">
      <pivotArea type="topRight" dataOnly="0" labelOnly="1" outline="0" fieldPosition="0"/>
    </format>
    <format dxfId="223">
      <pivotArea field="4" type="button" dataOnly="0" labelOnly="1" outline="0"/>
    </format>
    <format dxfId="224">
      <pivotArea dataOnly="0" labelOnly="1" grandRow="1" outline="0" fieldPosition="0"/>
    </format>
    <format dxfId="225">
      <pivotArea dataOnly="0" labelOnly="1" fieldPosition="0">
        <references count="1">
          <reference field="1" count="0"/>
        </references>
      </pivotArea>
    </format>
    <format dxfId="226">
      <pivotArea dataOnly="0" labelOnly="1" grandCol="1" outline="0" fieldPosition="0"/>
    </format>
    <format dxfId="22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A257D-AE0D-4AB4-92F4-D357A596AF27}" name="PivotTable1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0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3" baseItem="0" numFmtId="10"/>
  </dataFields>
  <formats count="10">
    <format dxfId="229">
      <pivotArea type="all" dataOnly="0" outline="0" fieldPosition="0"/>
    </format>
    <format dxfId="230">
      <pivotArea outline="0" collapsedLevelsAreSubtotals="1" fieldPosition="0"/>
    </format>
    <format dxfId="231">
      <pivotArea type="origin" dataOnly="0" labelOnly="1" outline="0" fieldPosition="0"/>
    </format>
    <format dxfId="232">
      <pivotArea field="1" type="button" dataOnly="0" labelOnly="1" outline="0" axis="axisCol" fieldPosition="0"/>
    </format>
    <format dxfId="233">
      <pivotArea type="topRight" dataOnly="0" labelOnly="1" outline="0" fieldPosition="0"/>
    </format>
    <format dxfId="234">
      <pivotArea field="4" type="button" dataOnly="0" labelOnly="1" outline="0"/>
    </format>
    <format dxfId="235">
      <pivotArea dataOnly="0" labelOnly="1" grandRow="1" outline="0" fieldPosition="0"/>
    </format>
    <format dxfId="236">
      <pivotArea dataOnly="0" labelOnly="1" fieldPosition="0">
        <references count="1">
          <reference field="1" count="0"/>
        </references>
      </pivotArea>
    </format>
    <format dxfId="237">
      <pivotArea dataOnly="0" labelOnly="1" grandCol="1" outline="0" fieldPosition="0"/>
    </format>
    <format dxfId="2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A79DF-C411-4074-A079-D95FDD5B8DB4}" name="HR_analytics" displayName="HR_analytics" ref="A1:AJ1471" totalsRowShown="0">
  <autoFilter ref="A1:AJ1471" xr:uid="{320A79DF-C411-4074-A079-D95FDD5B8DB4}"/>
  <tableColumns count="36">
    <tableColumn id="1" xr3:uid="{38E4A528-381F-43C3-8394-ABEE0D19248C}" name="Age"/>
    <tableColumn id="2" xr3:uid="{BC87A40A-6C7D-40B3-ADAC-F8CAA468537E}" name="Attrition"/>
    <tableColumn id="36" xr3:uid="{81EB91BB-F1AE-4B44-AA9F-C5B7C1947842}" name="Atrrition_num" dataDxfId="290">
      <calculatedColumnFormula>IF(HR_analytics[[#This Row],[Attrition]]="Yes",1,0)</calculatedColumnFormula>
    </tableColumn>
    <tableColumn id="3" xr3:uid="{5255215B-F7FE-4247-A70D-400233BE14A5}" name="BusinessTravel"/>
    <tableColumn id="4" xr3:uid="{F31D845D-4CC3-4966-A896-F4A80B336E79}" name="DailyRate"/>
    <tableColumn id="5" xr3:uid="{437F345C-5376-4413-9316-548EF0BA9AA0}" name="Department"/>
    <tableColumn id="6" xr3:uid="{1F216DC0-7105-41BB-8A3A-00AE58E654A6}" name="DistanceFromHome"/>
    <tableColumn id="7" xr3:uid="{BC4B651D-10E6-4050-AE25-8D451A61F58E}" name="Education"/>
    <tableColumn id="8" xr3:uid="{DD36C894-6ED9-4AB7-A58E-598BB3A1A1B5}" name="EducationField"/>
    <tableColumn id="9" xr3:uid="{EC75FDE8-3B4B-4CE4-8D88-D19FEDA0881D}" name="EmployeeCount"/>
    <tableColumn id="10" xr3:uid="{E599A8DE-1083-4A00-8AE8-F046DDDD74C0}" name="EmployeeNumber"/>
    <tableColumn id="11" xr3:uid="{400C31D2-8ECC-4539-8881-0320E7026A46}" name="EnvironmentSatisfaction"/>
    <tableColumn id="12" xr3:uid="{FD61B8CB-A656-4C07-8A3C-973645343A69}" name="Gender"/>
    <tableColumn id="13" xr3:uid="{21E4CED7-AC9D-458A-84E4-1EF7505B3634}" name="HourlyRate"/>
    <tableColumn id="14" xr3:uid="{36B2A2E5-B9F9-4741-887C-07B4C8A354B5}" name="JobInvolvement"/>
    <tableColumn id="15" xr3:uid="{9D101DCC-7C51-407A-9923-E7DCD2D27662}" name="JobLevel"/>
    <tableColumn id="16" xr3:uid="{69AF8814-ED73-4936-95FF-36062BCF839E}" name="JobRole"/>
    <tableColumn id="17" xr3:uid="{EEFA5F33-6E10-4006-82E6-C38D9ACA9D4B}" name="JobSatisfaction"/>
    <tableColumn id="18" xr3:uid="{F67471A8-8937-4E01-95FE-2C01468373D8}" name="MaritalStatus"/>
    <tableColumn id="19" xr3:uid="{44508D50-E5ED-4140-8158-A249FA1BCA12}" name="MonthlyIncome"/>
    <tableColumn id="20" xr3:uid="{CCB4A821-B40A-42FD-B121-AC023C157789}" name="MonthlyRate"/>
    <tableColumn id="21" xr3:uid="{B3D499ED-04D2-42AB-859D-C652EF465C4F}" name="NumCompaniesWorked"/>
    <tableColumn id="22" xr3:uid="{CE32B69A-6FEE-4CDA-BB8D-F05DC0C1BA19}" name="Over18"/>
    <tableColumn id="23" xr3:uid="{E516E220-3571-4DE2-9459-3E581B7B299C}" name="OverTime"/>
    <tableColumn id="24" xr3:uid="{5D9E61EC-3D99-4479-9549-AC1DFB0C061F}" name="PercentSalaryHike"/>
    <tableColumn id="25" xr3:uid="{08C2A55B-80DB-4A05-9F7A-23B2E579736C}" name="PerformanceRating"/>
    <tableColumn id="26" xr3:uid="{B5D0AE7F-2E50-4BFA-9A1A-6556F6A63B9D}" name="RelationshipSatisfaction"/>
    <tableColumn id="27" xr3:uid="{3A39E84F-26AC-43A4-8DEA-8954DAAF6BA2}" name="StandardHours"/>
    <tableColumn id="28" xr3:uid="{EA400BBD-A19B-45FE-BF98-0041456A468B}" name="StockOptionLevel"/>
    <tableColumn id="29" xr3:uid="{6C36A1A6-2094-4AC9-B189-681B85E025CD}" name="TotalWorkingYears"/>
    <tableColumn id="30" xr3:uid="{368FB273-9538-446A-ADAA-83FDEC168CE5}" name="TrainingTimesLastYear"/>
    <tableColumn id="31" xr3:uid="{B471E07D-0C72-4C9D-BE35-D99D3983F684}" name="WorkLifeBalance"/>
    <tableColumn id="32" xr3:uid="{4E8B4F36-260C-4C54-AA96-733C57BAC82E}" name="YearsAtCompany"/>
    <tableColumn id="33" xr3:uid="{E14A24B8-3ACA-46C4-B91A-71BB47E01020}" name="YearsInCurrentRole"/>
    <tableColumn id="34" xr3:uid="{C1FAB06D-2C82-4A8A-8CA8-EFA6F7782F04}" name="YearsSinceLastPromotion"/>
    <tableColumn id="35" xr3:uid="{4A136731-DA1C-4D8B-A954-A4B69910C06E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AFED-BABD-456E-ADF6-A67ABE993C6D}">
  <dimension ref="A1:AJ1471"/>
  <sheetViews>
    <sheetView topLeftCell="Z1445" workbookViewId="0">
      <selection activeCell="Z2" activeCellId="1" sqref="AI2:AI1471 Z2:Z1471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24.109375" customWidth="1"/>
    <col min="6" max="6" width="19.33203125" customWidth="1"/>
    <col min="7" max="7" width="15.554687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5.77734375" customWidth="1"/>
    <col min="21" max="21" width="25.44140625" customWidth="1"/>
    <col min="22" max="22" width="17.109375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6" x14ac:dyDescent="0.3">
      <c r="A1" t="s">
        <v>0</v>
      </c>
      <c r="B1" t="s">
        <v>1</v>
      </c>
      <c r="C1" t="s">
        <v>74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>
        <v>41</v>
      </c>
      <c r="B2" t="s">
        <v>35</v>
      </c>
      <c r="C2">
        <f>IF(HR_analytics[[#This Row],[Attrition]]="Yes",1,0)</f>
        <v>1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3">
      <c r="A3">
        <v>49</v>
      </c>
      <c r="B3" t="s">
        <v>43</v>
      </c>
      <c r="C3">
        <f>IF(HR_analytics[[#This Row],[Attrition]]="Yes",1,0)</f>
        <v>0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3">
      <c r="A4">
        <v>37</v>
      </c>
      <c r="B4" t="s">
        <v>35</v>
      </c>
      <c r="C4">
        <f>IF(HR_analytics[[#This Row],[Attrition]]="Yes",1,0)</f>
        <v>1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33</v>
      </c>
      <c r="B5" t="s">
        <v>43</v>
      </c>
      <c r="C5">
        <f>IF(HR_analytics[[#This Row],[Attrition]]="Yes",1,0)</f>
        <v>0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3">
      <c r="A6">
        <v>27</v>
      </c>
      <c r="B6" t="s">
        <v>43</v>
      </c>
      <c r="C6">
        <f>IF(HR_analytics[[#This Row],[Attrition]]="Yes",1,0)</f>
        <v>0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3">
      <c r="A7">
        <v>32</v>
      </c>
      <c r="B7" t="s">
        <v>43</v>
      </c>
      <c r="C7">
        <f>IF(HR_analytics[[#This Row],[Attrition]]="Yes",1,0)</f>
        <v>0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3">
      <c r="A8">
        <v>59</v>
      </c>
      <c r="B8" t="s">
        <v>43</v>
      </c>
      <c r="C8">
        <f>IF(HR_analytics[[#This Row],[Attrition]]="Yes",1,0)</f>
        <v>0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3">
      <c r="A9">
        <v>30</v>
      </c>
      <c r="B9" t="s">
        <v>43</v>
      </c>
      <c r="C9">
        <f>IF(HR_analytics[[#This Row],[Attrition]]="Yes",1,0)</f>
        <v>0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t="s">
        <v>43</v>
      </c>
      <c r="C10">
        <f>IF(HR_analytics[[#This Row],[Attrition]]="Yes",1,0)</f>
        <v>0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3">
      <c r="A11">
        <v>36</v>
      </c>
      <c r="B11" t="s">
        <v>43</v>
      </c>
      <c r="C11">
        <f>IF(HR_analytics[[#This Row],[Attrition]]="Yes",1,0)</f>
        <v>0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3">
      <c r="A12">
        <v>35</v>
      </c>
      <c r="B12" t="s">
        <v>43</v>
      </c>
      <c r="C12">
        <f>IF(HR_analytics[[#This Row],[Attrition]]="Yes",1,0)</f>
        <v>0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3">
      <c r="A13">
        <v>29</v>
      </c>
      <c r="B13" t="s">
        <v>43</v>
      </c>
      <c r="C13">
        <f>IF(HR_analytics[[#This Row],[Attrition]]="Yes",1,0)</f>
        <v>0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3">
      <c r="A14">
        <v>31</v>
      </c>
      <c r="B14" t="s">
        <v>43</v>
      </c>
      <c r="C14">
        <f>IF(HR_analytics[[#This Row],[Attrition]]="Yes",1,0)</f>
        <v>0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3">
      <c r="A15">
        <v>34</v>
      </c>
      <c r="B15" t="s">
        <v>43</v>
      </c>
      <c r="C15">
        <f>IF(HR_analytics[[#This Row],[Attrition]]="Yes",1,0)</f>
        <v>0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3">
      <c r="A16">
        <v>28</v>
      </c>
      <c r="B16" t="s">
        <v>35</v>
      </c>
      <c r="C16">
        <f>IF(HR_analytics[[#This Row],[Attrition]]="Yes",1,0)</f>
        <v>1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3">
      <c r="A17">
        <v>29</v>
      </c>
      <c r="B17" t="s">
        <v>43</v>
      </c>
      <c r="C17">
        <f>IF(HR_analytics[[#This Row],[Attrition]]="Yes",1,0)</f>
        <v>0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3">
      <c r="A18">
        <v>32</v>
      </c>
      <c r="B18" t="s">
        <v>43</v>
      </c>
      <c r="C18">
        <f>IF(HR_analytics[[#This Row],[Attrition]]="Yes",1,0)</f>
        <v>0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3">
      <c r="A19">
        <v>22</v>
      </c>
      <c r="B19" t="s">
        <v>43</v>
      </c>
      <c r="C19">
        <f>IF(HR_analytics[[#This Row],[Attrition]]="Yes",1,0)</f>
        <v>0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t="s">
        <v>43</v>
      </c>
      <c r="C20">
        <f>IF(HR_analytics[[#This Row],[Attrition]]="Yes",1,0)</f>
        <v>0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3">
      <c r="A21">
        <v>38</v>
      </c>
      <c r="B21" t="s">
        <v>43</v>
      </c>
      <c r="C21">
        <f>IF(HR_analytics[[#This Row],[Attrition]]="Yes",1,0)</f>
        <v>0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3">
      <c r="A22">
        <v>24</v>
      </c>
      <c r="B22" t="s">
        <v>43</v>
      </c>
      <c r="C22">
        <f>IF(HR_analytics[[#This Row],[Attrition]]="Yes",1,0)</f>
        <v>0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3">
      <c r="A23">
        <v>36</v>
      </c>
      <c r="B23" t="s">
        <v>35</v>
      </c>
      <c r="C23">
        <f>IF(HR_analytics[[#This Row],[Attrition]]="Yes",1,0)</f>
        <v>1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3">
      <c r="A24">
        <v>34</v>
      </c>
      <c r="B24" t="s">
        <v>43</v>
      </c>
      <c r="C24">
        <f>IF(HR_analytics[[#This Row],[Attrition]]="Yes",1,0)</f>
        <v>0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3">
      <c r="A25">
        <v>21</v>
      </c>
      <c r="B25" t="s">
        <v>43</v>
      </c>
      <c r="C25">
        <f>IF(HR_analytics[[#This Row],[Attrition]]="Yes",1,0)</f>
        <v>0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t="s">
        <v>35</v>
      </c>
      <c r="C26">
        <f>IF(HR_analytics[[#This Row],[Attrition]]="Yes",1,0)</f>
        <v>1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3">
      <c r="A27">
        <v>53</v>
      </c>
      <c r="B27" t="s">
        <v>43</v>
      </c>
      <c r="C27">
        <f>IF(HR_analytics[[#This Row],[Attrition]]="Yes",1,0)</f>
        <v>0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3">
      <c r="A28">
        <v>32</v>
      </c>
      <c r="B28" t="s">
        <v>35</v>
      </c>
      <c r="C28">
        <f>IF(HR_analytics[[#This Row],[Attrition]]="Yes",1,0)</f>
        <v>1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3">
      <c r="A29">
        <v>42</v>
      </c>
      <c r="B29" t="s">
        <v>43</v>
      </c>
      <c r="C29">
        <f>IF(HR_analytics[[#This Row],[Attrition]]="Yes",1,0)</f>
        <v>0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3">
      <c r="A30">
        <v>44</v>
      </c>
      <c r="B30" t="s">
        <v>43</v>
      </c>
      <c r="C30">
        <f>IF(HR_analytics[[#This Row],[Attrition]]="Yes",1,0)</f>
        <v>0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3">
      <c r="A31">
        <v>46</v>
      </c>
      <c r="B31" t="s">
        <v>43</v>
      </c>
      <c r="C31">
        <f>IF(HR_analytics[[#This Row],[Attrition]]="Yes",1,0)</f>
        <v>0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3">
      <c r="A32">
        <v>33</v>
      </c>
      <c r="B32" t="s">
        <v>43</v>
      </c>
      <c r="C32">
        <f>IF(HR_analytics[[#This Row],[Attrition]]="Yes",1,0)</f>
        <v>0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3">
      <c r="A33">
        <v>44</v>
      </c>
      <c r="B33" t="s">
        <v>43</v>
      </c>
      <c r="C33">
        <f>IF(HR_analytics[[#This Row],[Attrition]]="Yes",1,0)</f>
        <v>0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3">
      <c r="A34">
        <v>30</v>
      </c>
      <c r="B34" t="s">
        <v>43</v>
      </c>
      <c r="C34">
        <f>IF(HR_analytics[[#This Row],[Attrition]]="Yes",1,0)</f>
        <v>0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3">
      <c r="A35">
        <v>39</v>
      </c>
      <c r="B35" t="s">
        <v>35</v>
      </c>
      <c r="C35">
        <f>IF(HR_analytics[[#This Row],[Attrition]]="Yes",1,0)</f>
        <v>1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3">
      <c r="A36">
        <v>24</v>
      </c>
      <c r="B36" t="s">
        <v>35</v>
      </c>
      <c r="C36">
        <f>IF(HR_analytics[[#This Row],[Attrition]]="Yes",1,0)</f>
        <v>1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3">
      <c r="A37">
        <v>43</v>
      </c>
      <c r="B37" t="s">
        <v>43</v>
      </c>
      <c r="C37">
        <f>IF(HR_analytics[[#This Row],[Attrition]]="Yes",1,0)</f>
        <v>0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3">
      <c r="A38">
        <v>50</v>
      </c>
      <c r="B38" t="s">
        <v>35</v>
      </c>
      <c r="C38">
        <f>IF(HR_analytics[[#This Row],[Attrition]]="Yes",1,0)</f>
        <v>1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3">
      <c r="A39">
        <v>35</v>
      </c>
      <c r="B39" t="s">
        <v>43</v>
      </c>
      <c r="C39">
        <f>IF(HR_analytics[[#This Row],[Attrition]]="Yes",1,0)</f>
        <v>0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3">
      <c r="A40">
        <v>36</v>
      </c>
      <c r="B40" t="s">
        <v>43</v>
      </c>
      <c r="C40">
        <f>IF(HR_analytics[[#This Row],[Attrition]]="Yes",1,0)</f>
        <v>0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3">
      <c r="A41">
        <v>33</v>
      </c>
      <c r="B41" t="s">
        <v>43</v>
      </c>
      <c r="C41">
        <f>IF(HR_analytics[[#This Row],[Attrition]]="Yes",1,0)</f>
        <v>0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3">
      <c r="A42">
        <v>35</v>
      </c>
      <c r="B42" t="s">
        <v>43</v>
      </c>
      <c r="C42">
        <f>IF(HR_analytics[[#This Row],[Attrition]]="Yes",1,0)</f>
        <v>0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t="s">
        <v>43</v>
      </c>
      <c r="C43">
        <f>IF(HR_analytics[[#This Row],[Attrition]]="Yes",1,0)</f>
        <v>0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t="s">
        <v>35</v>
      </c>
      <c r="C44">
        <f>IF(HR_analytics[[#This Row],[Attrition]]="Yes",1,0)</f>
        <v>1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3">
      <c r="A45">
        <v>27</v>
      </c>
      <c r="B45" t="s">
        <v>43</v>
      </c>
      <c r="C45">
        <f>IF(HR_analytics[[#This Row],[Attrition]]="Yes",1,0)</f>
        <v>0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3">
      <c r="A46">
        <v>30</v>
      </c>
      <c r="B46" t="s">
        <v>43</v>
      </c>
      <c r="C46">
        <f>IF(HR_analytics[[#This Row],[Attrition]]="Yes",1,0)</f>
        <v>0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3">
      <c r="A47">
        <v>41</v>
      </c>
      <c r="B47" t="s">
        <v>35</v>
      </c>
      <c r="C47">
        <f>IF(HR_analytics[[#This Row],[Attrition]]="Yes",1,0)</f>
        <v>1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3">
      <c r="A48">
        <v>34</v>
      </c>
      <c r="B48" t="s">
        <v>43</v>
      </c>
      <c r="C48">
        <f>IF(HR_analytics[[#This Row],[Attrition]]="Yes",1,0)</f>
        <v>0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3">
      <c r="A49">
        <v>37</v>
      </c>
      <c r="B49" t="s">
        <v>43</v>
      </c>
      <c r="C49">
        <f>IF(HR_analytics[[#This Row],[Attrition]]="Yes",1,0)</f>
        <v>0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t="s">
        <v>43</v>
      </c>
      <c r="C50">
        <f>IF(HR_analytics[[#This Row],[Attrition]]="Yes",1,0)</f>
        <v>0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3">
      <c r="A51">
        <v>35</v>
      </c>
      <c r="B51" t="s">
        <v>43</v>
      </c>
      <c r="C51">
        <f>IF(HR_analytics[[#This Row],[Attrition]]="Yes",1,0)</f>
        <v>0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3">
      <c r="A52">
        <v>48</v>
      </c>
      <c r="B52" t="s">
        <v>35</v>
      </c>
      <c r="C52">
        <f>IF(HR_analytics[[#This Row],[Attrition]]="Yes",1,0)</f>
        <v>1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3">
      <c r="A53">
        <v>28</v>
      </c>
      <c r="B53" t="s">
        <v>35</v>
      </c>
      <c r="C53">
        <f>IF(HR_analytics[[#This Row],[Attrition]]="Yes",1,0)</f>
        <v>1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3">
      <c r="A54">
        <v>44</v>
      </c>
      <c r="B54" t="s">
        <v>43</v>
      </c>
      <c r="C54">
        <f>IF(HR_analytics[[#This Row],[Attrition]]="Yes",1,0)</f>
        <v>0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3">
      <c r="A55">
        <v>35</v>
      </c>
      <c r="B55" t="s">
        <v>43</v>
      </c>
      <c r="C55">
        <f>IF(HR_analytics[[#This Row],[Attrition]]="Yes",1,0)</f>
        <v>0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3">
      <c r="A56">
        <v>26</v>
      </c>
      <c r="B56" t="s">
        <v>43</v>
      </c>
      <c r="C56">
        <f>IF(HR_analytics[[#This Row],[Attrition]]="Yes",1,0)</f>
        <v>0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3">
      <c r="A57">
        <v>33</v>
      </c>
      <c r="B57" t="s">
        <v>43</v>
      </c>
      <c r="C57">
        <f>IF(HR_analytics[[#This Row],[Attrition]]="Yes",1,0)</f>
        <v>0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3">
      <c r="A58">
        <v>35</v>
      </c>
      <c r="B58" t="s">
        <v>43</v>
      </c>
      <c r="C58">
        <f>IF(HR_analytics[[#This Row],[Attrition]]="Yes",1,0)</f>
        <v>0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3">
      <c r="A59">
        <v>35</v>
      </c>
      <c r="B59" t="s">
        <v>43</v>
      </c>
      <c r="C59">
        <f>IF(HR_analytics[[#This Row],[Attrition]]="Yes",1,0)</f>
        <v>0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3">
      <c r="A60">
        <v>31</v>
      </c>
      <c r="B60" t="s">
        <v>43</v>
      </c>
      <c r="C60">
        <f>IF(HR_analytics[[#This Row],[Attrition]]="Yes",1,0)</f>
        <v>0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3">
      <c r="A61">
        <v>37</v>
      </c>
      <c r="B61" t="s">
        <v>43</v>
      </c>
      <c r="C61">
        <f>IF(HR_analytics[[#This Row],[Attrition]]="Yes",1,0)</f>
        <v>0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3">
      <c r="A62">
        <v>32</v>
      </c>
      <c r="B62" t="s">
        <v>43</v>
      </c>
      <c r="C62">
        <f>IF(HR_analytics[[#This Row],[Attrition]]="Yes",1,0)</f>
        <v>0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3">
      <c r="A63">
        <v>38</v>
      </c>
      <c r="B63" t="s">
        <v>43</v>
      </c>
      <c r="C63">
        <f>IF(HR_analytics[[#This Row],[Attrition]]="Yes",1,0)</f>
        <v>0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3">
      <c r="A64">
        <v>50</v>
      </c>
      <c r="B64" t="s">
        <v>43</v>
      </c>
      <c r="C64">
        <f>IF(HR_analytics[[#This Row],[Attrition]]="Yes",1,0)</f>
        <v>0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3">
      <c r="A65">
        <v>59</v>
      </c>
      <c r="B65" t="s">
        <v>43</v>
      </c>
      <c r="C65">
        <f>IF(HR_analytics[[#This Row],[Attrition]]="Yes",1,0)</f>
        <v>0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3">
      <c r="A66">
        <v>36</v>
      </c>
      <c r="B66" t="s">
        <v>43</v>
      </c>
      <c r="C66">
        <f>IF(HR_analytics[[#This Row],[Attrition]]="Yes",1,0)</f>
        <v>0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3">
      <c r="A67">
        <v>55</v>
      </c>
      <c r="B67" t="s">
        <v>43</v>
      </c>
      <c r="C67">
        <f>IF(HR_analytics[[#This Row],[Attrition]]="Yes",1,0)</f>
        <v>0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3">
      <c r="A68">
        <v>36</v>
      </c>
      <c r="B68" t="s">
        <v>43</v>
      </c>
      <c r="C68">
        <f>IF(HR_analytics[[#This Row],[Attrition]]="Yes",1,0)</f>
        <v>0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3">
      <c r="A69">
        <v>45</v>
      </c>
      <c r="B69" t="s">
        <v>43</v>
      </c>
      <c r="C69">
        <f>IF(HR_analytics[[#This Row],[Attrition]]="Yes",1,0)</f>
        <v>0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t="s">
        <v>43</v>
      </c>
      <c r="C70">
        <f>IF(HR_analytics[[#This Row],[Attrition]]="Yes",1,0)</f>
        <v>0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3">
      <c r="A71">
        <v>36</v>
      </c>
      <c r="B71" t="s">
        <v>35</v>
      </c>
      <c r="C71">
        <f>IF(HR_analytics[[#This Row],[Attrition]]="Yes",1,0)</f>
        <v>1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3">
      <c r="A72">
        <v>59</v>
      </c>
      <c r="B72" t="s">
        <v>43</v>
      </c>
      <c r="C72">
        <f>IF(HR_analytics[[#This Row],[Attrition]]="Yes",1,0)</f>
        <v>0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3">
      <c r="A73">
        <v>29</v>
      </c>
      <c r="B73" t="s">
        <v>43</v>
      </c>
      <c r="C73">
        <f>IF(HR_analytics[[#This Row],[Attrition]]="Yes",1,0)</f>
        <v>0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3">
      <c r="A74">
        <v>31</v>
      </c>
      <c r="B74" t="s">
        <v>43</v>
      </c>
      <c r="C74">
        <f>IF(HR_analytics[[#This Row],[Attrition]]="Yes",1,0)</f>
        <v>0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3">
      <c r="A75">
        <v>32</v>
      </c>
      <c r="B75" t="s">
        <v>43</v>
      </c>
      <c r="C75">
        <f>IF(HR_analytics[[#This Row],[Attrition]]="Yes",1,0)</f>
        <v>0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3">
      <c r="A76">
        <v>36</v>
      </c>
      <c r="B76" t="s">
        <v>43</v>
      </c>
      <c r="C76">
        <f>IF(HR_analytics[[#This Row],[Attrition]]="Yes",1,0)</f>
        <v>0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t="s">
        <v>43</v>
      </c>
      <c r="C77">
        <f>IF(HR_analytics[[#This Row],[Attrition]]="Yes",1,0)</f>
        <v>0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3">
      <c r="A78">
        <v>35</v>
      </c>
      <c r="B78" t="s">
        <v>43</v>
      </c>
      <c r="C78">
        <f>IF(HR_analytics[[#This Row],[Attrition]]="Yes",1,0)</f>
        <v>0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3">
      <c r="A79">
        <v>45</v>
      </c>
      <c r="B79" t="s">
        <v>43</v>
      </c>
      <c r="C79">
        <f>IF(HR_analytics[[#This Row],[Attrition]]="Yes",1,0)</f>
        <v>0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t="s">
        <v>43</v>
      </c>
      <c r="C80">
        <f>IF(HR_analytics[[#This Row],[Attrition]]="Yes",1,0)</f>
        <v>0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3">
      <c r="A81">
        <v>46</v>
      </c>
      <c r="B81" t="s">
        <v>43</v>
      </c>
      <c r="C81">
        <f>IF(HR_analytics[[#This Row],[Attrition]]="Yes",1,0)</f>
        <v>0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3">
      <c r="A82">
        <v>30</v>
      </c>
      <c r="B82" t="s">
        <v>43</v>
      </c>
      <c r="C82">
        <f>IF(HR_analytics[[#This Row],[Attrition]]="Yes",1,0)</f>
        <v>0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3">
      <c r="A83">
        <v>35</v>
      </c>
      <c r="B83" t="s">
        <v>43</v>
      </c>
      <c r="C83">
        <f>IF(HR_analytics[[#This Row],[Attrition]]="Yes",1,0)</f>
        <v>0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3">
      <c r="A84">
        <v>55</v>
      </c>
      <c r="B84" t="s">
        <v>43</v>
      </c>
      <c r="C84">
        <f>IF(HR_analytics[[#This Row],[Attrition]]="Yes",1,0)</f>
        <v>0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3">
      <c r="A85">
        <v>38</v>
      </c>
      <c r="B85" t="s">
        <v>43</v>
      </c>
      <c r="C85">
        <f>IF(HR_analytics[[#This Row],[Attrition]]="Yes",1,0)</f>
        <v>0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3">
      <c r="A86">
        <v>34</v>
      </c>
      <c r="B86" t="s">
        <v>43</v>
      </c>
      <c r="C86">
        <f>IF(HR_analytics[[#This Row],[Attrition]]="Yes",1,0)</f>
        <v>0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3">
      <c r="A87">
        <v>56</v>
      </c>
      <c r="B87" t="s">
        <v>43</v>
      </c>
      <c r="C87">
        <f>IF(HR_analytics[[#This Row],[Attrition]]="Yes",1,0)</f>
        <v>0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3">
      <c r="A88">
        <v>23</v>
      </c>
      <c r="B88" t="s">
        <v>43</v>
      </c>
      <c r="C88">
        <f>IF(HR_analytics[[#This Row],[Attrition]]="Yes",1,0)</f>
        <v>0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t="s">
        <v>43</v>
      </c>
      <c r="C89">
        <f>IF(HR_analytics[[#This Row],[Attrition]]="Yes",1,0)</f>
        <v>0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3">
      <c r="A90">
        <v>30</v>
      </c>
      <c r="B90" t="s">
        <v>43</v>
      </c>
      <c r="C90">
        <f>IF(HR_analytics[[#This Row],[Attrition]]="Yes",1,0)</f>
        <v>0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3">
      <c r="A91">
        <v>46</v>
      </c>
      <c r="B91" t="s">
        <v>35</v>
      </c>
      <c r="C91">
        <f>IF(HR_analytics[[#This Row],[Attrition]]="Yes",1,0)</f>
        <v>1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3">
      <c r="A92">
        <v>40</v>
      </c>
      <c r="B92" t="s">
        <v>43</v>
      </c>
      <c r="C92">
        <f>IF(HR_analytics[[#This Row],[Attrition]]="Yes",1,0)</f>
        <v>0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3">
      <c r="A93">
        <v>51</v>
      </c>
      <c r="B93" t="s">
        <v>43</v>
      </c>
      <c r="C93">
        <f>IF(HR_analytics[[#This Row],[Attrition]]="Yes",1,0)</f>
        <v>0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3">
      <c r="A94">
        <v>30</v>
      </c>
      <c r="B94" t="s">
        <v>43</v>
      </c>
      <c r="C94">
        <f>IF(HR_analytics[[#This Row],[Attrition]]="Yes",1,0)</f>
        <v>0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3">
      <c r="A95">
        <v>46</v>
      </c>
      <c r="B95" t="s">
        <v>43</v>
      </c>
      <c r="C95">
        <f>IF(HR_analytics[[#This Row],[Attrition]]="Yes",1,0)</f>
        <v>0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3">
      <c r="A96">
        <v>32</v>
      </c>
      <c r="B96" t="s">
        <v>43</v>
      </c>
      <c r="C96">
        <f>IF(HR_analytics[[#This Row],[Attrition]]="Yes",1,0)</f>
        <v>0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3">
      <c r="A97">
        <v>54</v>
      </c>
      <c r="B97" t="s">
        <v>43</v>
      </c>
      <c r="C97">
        <f>IF(HR_analytics[[#This Row],[Attrition]]="Yes",1,0)</f>
        <v>0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3">
      <c r="A98">
        <v>24</v>
      </c>
      <c r="B98" t="s">
        <v>43</v>
      </c>
      <c r="C98">
        <f>IF(HR_analytics[[#This Row],[Attrition]]="Yes",1,0)</f>
        <v>0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3">
      <c r="A99">
        <v>28</v>
      </c>
      <c r="B99" t="s">
        <v>43</v>
      </c>
      <c r="C99">
        <f>IF(HR_analytics[[#This Row],[Attrition]]="Yes",1,0)</f>
        <v>0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3">
      <c r="A100">
        <v>58</v>
      </c>
      <c r="B100" t="s">
        <v>43</v>
      </c>
      <c r="C100">
        <f>IF(HR_analytics[[#This Row],[Attrition]]="Yes",1,0)</f>
        <v>0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3">
      <c r="A101">
        <v>44</v>
      </c>
      <c r="B101" t="s">
        <v>43</v>
      </c>
      <c r="C101">
        <f>IF(HR_analytics[[#This Row],[Attrition]]="Yes",1,0)</f>
        <v>0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3">
      <c r="A102">
        <v>37</v>
      </c>
      <c r="B102" t="s">
        <v>35</v>
      </c>
      <c r="C102">
        <f>IF(HR_analytics[[#This Row],[Attrition]]="Yes",1,0)</f>
        <v>1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3">
      <c r="A103">
        <v>32</v>
      </c>
      <c r="B103" t="s">
        <v>43</v>
      </c>
      <c r="C103">
        <f>IF(HR_analytics[[#This Row],[Attrition]]="Yes",1,0)</f>
        <v>0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t="s">
        <v>35</v>
      </c>
      <c r="C104">
        <f>IF(HR_analytics[[#This Row],[Attrition]]="Yes",1,0)</f>
        <v>1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3">
      <c r="A105">
        <v>34</v>
      </c>
      <c r="B105" t="s">
        <v>43</v>
      </c>
      <c r="C105">
        <f>IF(HR_analytics[[#This Row],[Attrition]]="Yes",1,0)</f>
        <v>0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3">
      <c r="A106">
        <v>37</v>
      </c>
      <c r="B106" t="s">
        <v>43</v>
      </c>
      <c r="C106">
        <f>IF(HR_analytics[[#This Row],[Attrition]]="Yes",1,0)</f>
        <v>0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t="s">
        <v>43</v>
      </c>
      <c r="C107">
        <f>IF(HR_analytics[[#This Row],[Attrition]]="Yes",1,0)</f>
        <v>0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3">
      <c r="A108">
        <v>50</v>
      </c>
      <c r="B108" t="s">
        <v>43</v>
      </c>
      <c r="C108">
        <f>IF(HR_analytics[[#This Row],[Attrition]]="Yes",1,0)</f>
        <v>0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3">
      <c r="A109">
        <v>25</v>
      </c>
      <c r="B109" t="s">
        <v>35</v>
      </c>
      <c r="C109">
        <f>IF(HR_analytics[[#This Row],[Attrition]]="Yes",1,0)</f>
        <v>1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3">
      <c r="A110">
        <v>25</v>
      </c>
      <c r="B110" t="s">
        <v>43</v>
      </c>
      <c r="C110">
        <f>IF(HR_analytics[[#This Row],[Attrition]]="Yes",1,0)</f>
        <v>0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3">
      <c r="A111">
        <v>22</v>
      </c>
      <c r="B111" t="s">
        <v>43</v>
      </c>
      <c r="C111">
        <f>IF(HR_analytics[[#This Row],[Attrition]]="Yes",1,0)</f>
        <v>0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t="s">
        <v>43</v>
      </c>
      <c r="C112">
        <f>IF(HR_analytics[[#This Row],[Attrition]]="Yes",1,0)</f>
        <v>0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3">
      <c r="A113">
        <v>34</v>
      </c>
      <c r="B113" t="s">
        <v>35</v>
      </c>
      <c r="C113">
        <f>IF(HR_analytics[[#This Row],[Attrition]]="Yes",1,0)</f>
        <v>1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3">
      <c r="A114">
        <v>54</v>
      </c>
      <c r="B114" t="s">
        <v>43</v>
      </c>
      <c r="C114">
        <f>IF(HR_analytics[[#This Row],[Attrition]]="Yes",1,0)</f>
        <v>0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3">
      <c r="A115">
        <v>24</v>
      </c>
      <c r="B115" t="s">
        <v>43</v>
      </c>
      <c r="C115">
        <f>IF(HR_analytics[[#This Row],[Attrition]]="Yes",1,0)</f>
        <v>0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3">
      <c r="A116">
        <v>34</v>
      </c>
      <c r="B116" t="s">
        <v>43</v>
      </c>
      <c r="C116">
        <f>IF(HR_analytics[[#This Row],[Attrition]]="Yes",1,0)</f>
        <v>0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t="s">
        <v>43</v>
      </c>
      <c r="C117">
        <f>IF(HR_analytics[[#This Row],[Attrition]]="Yes",1,0)</f>
        <v>0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3">
      <c r="A118">
        <v>34</v>
      </c>
      <c r="B118" t="s">
        <v>43</v>
      </c>
      <c r="C118">
        <f>IF(HR_analytics[[#This Row],[Attrition]]="Yes",1,0)</f>
        <v>0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3">
      <c r="A119">
        <v>36</v>
      </c>
      <c r="B119" t="s">
        <v>43</v>
      </c>
      <c r="C119">
        <f>IF(HR_analytics[[#This Row],[Attrition]]="Yes",1,0)</f>
        <v>0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3">
      <c r="A120">
        <v>36</v>
      </c>
      <c r="B120" t="s">
        <v>43</v>
      </c>
      <c r="C120">
        <f>IF(HR_analytics[[#This Row],[Attrition]]="Yes",1,0)</f>
        <v>0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t="s">
        <v>43</v>
      </c>
      <c r="C121">
        <f>IF(HR_analytics[[#This Row],[Attrition]]="Yes",1,0)</f>
        <v>0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3">
      <c r="A122">
        <v>30</v>
      </c>
      <c r="B122" t="s">
        <v>43</v>
      </c>
      <c r="C122">
        <f>IF(HR_analytics[[#This Row],[Attrition]]="Yes",1,0)</f>
        <v>0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3">
      <c r="A123">
        <v>33</v>
      </c>
      <c r="B123" t="s">
        <v>43</v>
      </c>
      <c r="C123">
        <f>IF(HR_analytics[[#This Row],[Attrition]]="Yes",1,0)</f>
        <v>0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3">
      <c r="A124">
        <v>56</v>
      </c>
      <c r="B124" t="s">
        <v>35</v>
      </c>
      <c r="C124">
        <f>IF(HR_analytics[[#This Row],[Attrition]]="Yes",1,0)</f>
        <v>1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3">
      <c r="A125">
        <v>51</v>
      </c>
      <c r="B125" t="s">
        <v>43</v>
      </c>
      <c r="C125">
        <f>IF(HR_analytics[[#This Row],[Attrition]]="Yes",1,0)</f>
        <v>0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3">
      <c r="A126">
        <v>31</v>
      </c>
      <c r="B126" t="s">
        <v>35</v>
      </c>
      <c r="C126">
        <f>IF(HR_analytics[[#This Row],[Attrition]]="Yes",1,0)</f>
        <v>1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3">
      <c r="A127">
        <v>26</v>
      </c>
      <c r="B127" t="s">
        <v>43</v>
      </c>
      <c r="C127">
        <f>IF(HR_analytics[[#This Row],[Attrition]]="Yes",1,0)</f>
        <v>0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3">
      <c r="A128">
        <v>58</v>
      </c>
      <c r="B128" t="s">
        <v>35</v>
      </c>
      <c r="C128">
        <f>IF(HR_analytics[[#This Row],[Attrition]]="Yes",1,0)</f>
        <v>1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3">
      <c r="A129">
        <v>19</v>
      </c>
      <c r="B129" t="s">
        <v>35</v>
      </c>
      <c r="C129">
        <f>IF(HR_analytics[[#This Row],[Attrition]]="Yes",1,0)</f>
        <v>1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>
        <v>22</v>
      </c>
      <c r="B130" t="s">
        <v>43</v>
      </c>
      <c r="C130">
        <f>IF(HR_analytics[[#This Row],[Attrition]]="Yes",1,0)</f>
        <v>0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3">
      <c r="A131">
        <v>49</v>
      </c>
      <c r="B131" t="s">
        <v>43</v>
      </c>
      <c r="C131">
        <f>IF(HR_analytics[[#This Row],[Attrition]]="Yes",1,0)</f>
        <v>0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3">
      <c r="A132">
        <v>43</v>
      </c>
      <c r="B132" t="s">
        <v>43</v>
      </c>
      <c r="C132">
        <f>IF(HR_analytics[[#This Row],[Attrition]]="Yes",1,0)</f>
        <v>0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3">
      <c r="A133">
        <v>50</v>
      </c>
      <c r="B133" t="s">
        <v>43</v>
      </c>
      <c r="C133">
        <f>IF(HR_analytics[[#This Row],[Attrition]]="Yes",1,0)</f>
        <v>0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3">
      <c r="A134">
        <v>31</v>
      </c>
      <c r="B134" t="s">
        <v>35</v>
      </c>
      <c r="C134">
        <f>IF(HR_analytics[[#This Row],[Attrition]]="Yes",1,0)</f>
        <v>1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3">
      <c r="A135">
        <v>41</v>
      </c>
      <c r="B135" t="s">
        <v>43</v>
      </c>
      <c r="C135">
        <f>IF(HR_analytics[[#This Row],[Attrition]]="Yes",1,0)</f>
        <v>0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3">
      <c r="A136">
        <v>26</v>
      </c>
      <c r="B136" t="s">
        <v>43</v>
      </c>
      <c r="C136">
        <f>IF(HR_analytics[[#This Row],[Attrition]]="Yes",1,0)</f>
        <v>0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3">
      <c r="A137">
        <v>36</v>
      </c>
      <c r="B137" t="s">
        <v>43</v>
      </c>
      <c r="C137">
        <f>IF(HR_analytics[[#This Row],[Attrition]]="Yes",1,0)</f>
        <v>0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3">
      <c r="A138">
        <v>51</v>
      </c>
      <c r="B138" t="s">
        <v>35</v>
      </c>
      <c r="C138">
        <f>IF(HR_analytics[[#This Row],[Attrition]]="Yes",1,0)</f>
        <v>1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3">
      <c r="A139">
        <v>39</v>
      </c>
      <c r="B139" t="s">
        <v>43</v>
      </c>
      <c r="C139">
        <f>IF(HR_analytics[[#This Row],[Attrition]]="Yes",1,0)</f>
        <v>0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3">
      <c r="A140">
        <v>25</v>
      </c>
      <c r="B140" t="s">
        <v>43</v>
      </c>
      <c r="C140">
        <f>IF(HR_analytics[[#This Row],[Attrition]]="Yes",1,0)</f>
        <v>0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3">
      <c r="A141">
        <v>30</v>
      </c>
      <c r="B141" t="s">
        <v>43</v>
      </c>
      <c r="C141">
        <f>IF(HR_analytics[[#This Row],[Attrition]]="Yes",1,0)</f>
        <v>0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3">
      <c r="A142">
        <v>32</v>
      </c>
      <c r="B142" t="s">
        <v>35</v>
      </c>
      <c r="C142">
        <f>IF(HR_analytics[[#This Row],[Attrition]]="Yes",1,0)</f>
        <v>1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3">
      <c r="A143">
        <v>45</v>
      </c>
      <c r="B143" t="s">
        <v>43</v>
      </c>
      <c r="C143">
        <f>IF(HR_analytics[[#This Row],[Attrition]]="Yes",1,0)</f>
        <v>0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3">
      <c r="A144">
        <v>38</v>
      </c>
      <c r="B144" t="s">
        <v>43</v>
      </c>
      <c r="C144">
        <f>IF(HR_analytics[[#This Row],[Attrition]]="Yes",1,0)</f>
        <v>0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3">
      <c r="A145">
        <v>30</v>
      </c>
      <c r="B145" t="s">
        <v>43</v>
      </c>
      <c r="C145">
        <f>IF(HR_analytics[[#This Row],[Attrition]]="Yes",1,0)</f>
        <v>0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3">
      <c r="A146">
        <v>32</v>
      </c>
      <c r="B146" t="s">
        <v>43</v>
      </c>
      <c r="C146">
        <f>IF(HR_analytics[[#This Row],[Attrition]]="Yes",1,0)</f>
        <v>0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3">
      <c r="A147">
        <v>30</v>
      </c>
      <c r="B147" t="s">
        <v>43</v>
      </c>
      <c r="C147">
        <f>IF(HR_analytics[[#This Row],[Attrition]]="Yes",1,0)</f>
        <v>0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3">
      <c r="A148">
        <v>30</v>
      </c>
      <c r="B148" t="s">
        <v>43</v>
      </c>
      <c r="C148">
        <f>IF(HR_analytics[[#This Row],[Attrition]]="Yes",1,0)</f>
        <v>0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3">
      <c r="A149">
        <v>41</v>
      </c>
      <c r="B149" t="s">
        <v>43</v>
      </c>
      <c r="C149">
        <f>IF(HR_analytics[[#This Row],[Attrition]]="Yes",1,0)</f>
        <v>0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3">
      <c r="A150">
        <v>41</v>
      </c>
      <c r="B150" t="s">
        <v>43</v>
      </c>
      <c r="C150">
        <f>IF(HR_analytics[[#This Row],[Attrition]]="Yes",1,0)</f>
        <v>0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3">
      <c r="A151">
        <v>19</v>
      </c>
      <c r="B151" t="s">
        <v>43</v>
      </c>
      <c r="C151">
        <f>IF(HR_analytics[[#This Row],[Attrition]]="Yes",1,0)</f>
        <v>0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t="s">
        <v>43</v>
      </c>
      <c r="C152">
        <f>IF(HR_analytics[[#This Row],[Attrition]]="Yes",1,0)</f>
        <v>0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3">
      <c r="A153">
        <v>35</v>
      </c>
      <c r="B153" t="s">
        <v>43</v>
      </c>
      <c r="C153">
        <f>IF(HR_analytics[[#This Row],[Attrition]]="Yes",1,0)</f>
        <v>0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3">
      <c r="A154">
        <v>53</v>
      </c>
      <c r="B154" t="s">
        <v>43</v>
      </c>
      <c r="C154">
        <f>IF(HR_analytics[[#This Row],[Attrition]]="Yes",1,0)</f>
        <v>0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3">
      <c r="A155">
        <v>45</v>
      </c>
      <c r="B155" t="s">
        <v>43</v>
      </c>
      <c r="C155">
        <f>IF(HR_analytics[[#This Row],[Attrition]]="Yes",1,0)</f>
        <v>0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3">
      <c r="A156">
        <v>32</v>
      </c>
      <c r="B156" t="s">
        <v>43</v>
      </c>
      <c r="C156">
        <f>IF(HR_analytics[[#This Row],[Attrition]]="Yes",1,0)</f>
        <v>0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3">
      <c r="A157">
        <v>29</v>
      </c>
      <c r="B157" t="s">
        <v>43</v>
      </c>
      <c r="C157">
        <f>IF(HR_analytics[[#This Row],[Attrition]]="Yes",1,0)</f>
        <v>0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3">
      <c r="A158">
        <v>51</v>
      </c>
      <c r="B158" t="s">
        <v>43</v>
      </c>
      <c r="C158">
        <f>IF(HR_analytics[[#This Row],[Attrition]]="Yes",1,0)</f>
        <v>0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t="s">
        <v>43</v>
      </c>
      <c r="C159">
        <f>IF(HR_analytics[[#This Row],[Attrition]]="Yes",1,0)</f>
        <v>0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t="s">
        <v>43</v>
      </c>
      <c r="C160">
        <f>IF(HR_analytics[[#This Row],[Attrition]]="Yes",1,0)</f>
        <v>0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3">
      <c r="A161">
        <v>34</v>
      </c>
      <c r="B161" t="s">
        <v>43</v>
      </c>
      <c r="C161">
        <f>IF(HR_analytics[[#This Row],[Attrition]]="Yes",1,0)</f>
        <v>0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3">
      <c r="A162">
        <v>22</v>
      </c>
      <c r="B162" t="s">
        <v>43</v>
      </c>
      <c r="C162">
        <f>IF(HR_analytics[[#This Row],[Attrition]]="Yes",1,0)</f>
        <v>0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3">
      <c r="A163">
        <v>27</v>
      </c>
      <c r="B163" t="s">
        <v>43</v>
      </c>
      <c r="C163">
        <f>IF(HR_analytics[[#This Row],[Attrition]]="Yes",1,0)</f>
        <v>0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3">
      <c r="A164">
        <v>28</v>
      </c>
      <c r="B164" t="s">
        <v>43</v>
      </c>
      <c r="C164">
        <f>IF(HR_analytics[[#This Row],[Attrition]]="Yes",1,0)</f>
        <v>0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3">
      <c r="A165">
        <v>57</v>
      </c>
      <c r="B165" t="s">
        <v>43</v>
      </c>
      <c r="C165">
        <f>IF(HR_analytics[[#This Row],[Attrition]]="Yes",1,0)</f>
        <v>0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3">
      <c r="A166">
        <v>27</v>
      </c>
      <c r="B166" t="s">
        <v>43</v>
      </c>
      <c r="C166">
        <f>IF(HR_analytics[[#This Row],[Attrition]]="Yes",1,0)</f>
        <v>0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3">
      <c r="A167">
        <v>50</v>
      </c>
      <c r="B167" t="s">
        <v>43</v>
      </c>
      <c r="C167">
        <f>IF(HR_analytics[[#This Row],[Attrition]]="Yes",1,0)</f>
        <v>0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3">
      <c r="A168">
        <v>41</v>
      </c>
      <c r="B168" t="s">
        <v>43</v>
      </c>
      <c r="C168">
        <f>IF(HR_analytics[[#This Row],[Attrition]]="Yes",1,0)</f>
        <v>0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3">
      <c r="A169">
        <v>30</v>
      </c>
      <c r="B169" t="s">
        <v>43</v>
      </c>
      <c r="C169">
        <f>IF(HR_analytics[[#This Row],[Attrition]]="Yes",1,0)</f>
        <v>0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3">
      <c r="A170">
        <v>38</v>
      </c>
      <c r="B170" t="s">
        <v>43</v>
      </c>
      <c r="C170">
        <f>IF(HR_analytics[[#This Row],[Attrition]]="Yes",1,0)</f>
        <v>0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3">
      <c r="A171">
        <v>32</v>
      </c>
      <c r="B171" t="s">
        <v>43</v>
      </c>
      <c r="C171">
        <f>IF(HR_analytics[[#This Row],[Attrition]]="Yes",1,0)</f>
        <v>0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3">
      <c r="A172">
        <v>27</v>
      </c>
      <c r="B172" t="s">
        <v>43</v>
      </c>
      <c r="C172">
        <f>IF(HR_analytics[[#This Row],[Attrition]]="Yes",1,0)</f>
        <v>0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3">
      <c r="A173">
        <v>19</v>
      </c>
      <c r="B173" t="s">
        <v>35</v>
      </c>
      <c r="C173">
        <f>IF(HR_analytics[[#This Row],[Attrition]]="Yes",1,0)</f>
        <v>1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36</v>
      </c>
      <c r="B174" t="s">
        <v>43</v>
      </c>
      <c r="C174">
        <f>IF(HR_analytics[[#This Row],[Attrition]]="Yes",1,0)</f>
        <v>0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3">
      <c r="A175">
        <v>30</v>
      </c>
      <c r="B175" t="s">
        <v>43</v>
      </c>
      <c r="C175">
        <f>IF(HR_analytics[[#This Row],[Attrition]]="Yes",1,0)</f>
        <v>0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3">
      <c r="A176">
        <v>45</v>
      </c>
      <c r="B176" t="s">
        <v>43</v>
      </c>
      <c r="C176">
        <f>IF(HR_analytics[[#This Row],[Attrition]]="Yes",1,0)</f>
        <v>0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3">
      <c r="A177">
        <v>56</v>
      </c>
      <c r="B177" t="s">
        <v>43</v>
      </c>
      <c r="C177">
        <f>IF(HR_analytics[[#This Row],[Attrition]]="Yes",1,0)</f>
        <v>0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3">
      <c r="A178">
        <v>33</v>
      </c>
      <c r="B178" t="s">
        <v>43</v>
      </c>
      <c r="C178">
        <f>IF(HR_analytics[[#This Row],[Attrition]]="Yes",1,0)</f>
        <v>0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3">
      <c r="A179">
        <v>19</v>
      </c>
      <c r="B179" t="s">
        <v>35</v>
      </c>
      <c r="C179">
        <f>IF(HR_analytics[[#This Row],[Attrition]]="Yes",1,0)</f>
        <v>1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3">
      <c r="A180">
        <v>46</v>
      </c>
      <c r="B180" t="s">
        <v>43</v>
      </c>
      <c r="C180">
        <f>IF(HR_analytics[[#This Row],[Attrition]]="Yes",1,0)</f>
        <v>0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3">
      <c r="A181">
        <v>38</v>
      </c>
      <c r="B181" t="s">
        <v>43</v>
      </c>
      <c r="C181">
        <f>IF(HR_analytics[[#This Row],[Attrition]]="Yes",1,0)</f>
        <v>0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3">
      <c r="A182">
        <v>31</v>
      </c>
      <c r="B182" t="s">
        <v>43</v>
      </c>
      <c r="C182">
        <f>IF(HR_analytics[[#This Row],[Attrition]]="Yes",1,0)</f>
        <v>0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3">
      <c r="A183">
        <v>34</v>
      </c>
      <c r="B183" t="s">
        <v>43</v>
      </c>
      <c r="C183">
        <f>IF(HR_analytics[[#This Row],[Attrition]]="Yes",1,0)</f>
        <v>0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3">
      <c r="A184">
        <v>41</v>
      </c>
      <c r="B184" t="s">
        <v>35</v>
      </c>
      <c r="C184">
        <f>IF(HR_analytics[[#This Row],[Attrition]]="Yes",1,0)</f>
        <v>1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3">
      <c r="A185">
        <v>50</v>
      </c>
      <c r="B185" t="s">
        <v>43</v>
      </c>
      <c r="C185">
        <f>IF(HR_analytics[[#This Row],[Attrition]]="Yes",1,0)</f>
        <v>0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3">
      <c r="A186">
        <v>53</v>
      </c>
      <c r="B186" t="s">
        <v>43</v>
      </c>
      <c r="C186">
        <f>IF(HR_analytics[[#This Row],[Attrition]]="Yes",1,0)</f>
        <v>0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3">
      <c r="A187">
        <v>33</v>
      </c>
      <c r="B187" t="s">
        <v>43</v>
      </c>
      <c r="C187">
        <f>IF(HR_analytics[[#This Row],[Attrition]]="Yes",1,0)</f>
        <v>0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3">
      <c r="A188">
        <v>40</v>
      </c>
      <c r="B188" t="s">
        <v>43</v>
      </c>
      <c r="C188">
        <f>IF(HR_analytics[[#This Row],[Attrition]]="Yes",1,0)</f>
        <v>0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3">
      <c r="A189">
        <v>55</v>
      </c>
      <c r="B189" t="s">
        <v>43</v>
      </c>
      <c r="C189">
        <f>IF(HR_analytics[[#This Row],[Attrition]]="Yes",1,0)</f>
        <v>0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3">
      <c r="A190">
        <v>34</v>
      </c>
      <c r="B190" t="s">
        <v>43</v>
      </c>
      <c r="C190">
        <f>IF(HR_analytics[[#This Row],[Attrition]]="Yes",1,0)</f>
        <v>0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3">
      <c r="A191">
        <v>51</v>
      </c>
      <c r="B191" t="s">
        <v>43</v>
      </c>
      <c r="C191">
        <f>IF(HR_analytics[[#This Row],[Attrition]]="Yes",1,0)</f>
        <v>0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3">
      <c r="A192">
        <v>52</v>
      </c>
      <c r="B192" t="s">
        <v>43</v>
      </c>
      <c r="C192">
        <f>IF(HR_analytics[[#This Row],[Attrition]]="Yes",1,0)</f>
        <v>0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3">
      <c r="A193">
        <v>27</v>
      </c>
      <c r="B193" t="s">
        <v>43</v>
      </c>
      <c r="C193">
        <f>IF(HR_analytics[[#This Row],[Attrition]]="Yes",1,0)</f>
        <v>0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3">
      <c r="A194">
        <v>35</v>
      </c>
      <c r="B194" t="s">
        <v>35</v>
      </c>
      <c r="C194">
        <f>IF(HR_analytics[[#This Row],[Attrition]]="Yes",1,0)</f>
        <v>1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3">
      <c r="A195">
        <v>43</v>
      </c>
      <c r="B195" t="s">
        <v>43</v>
      </c>
      <c r="C195">
        <f>IF(HR_analytics[[#This Row],[Attrition]]="Yes",1,0)</f>
        <v>0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3">
      <c r="A196">
        <v>45</v>
      </c>
      <c r="B196" t="s">
        <v>43</v>
      </c>
      <c r="C196">
        <f>IF(HR_analytics[[#This Row],[Attrition]]="Yes",1,0)</f>
        <v>0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3">
      <c r="A197">
        <v>37</v>
      </c>
      <c r="B197" t="s">
        <v>43</v>
      </c>
      <c r="C197">
        <f>IF(HR_analytics[[#This Row],[Attrition]]="Yes",1,0)</f>
        <v>0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3">
      <c r="A198">
        <v>35</v>
      </c>
      <c r="B198" t="s">
        <v>43</v>
      </c>
      <c r="C198">
        <f>IF(HR_analytics[[#This Row],[Attrition]]="Yes",1,0)</f>
        <v>0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3">
      <c r="A199">
        <v>42</v>
      </c>
      <c r="B199" t="s">
        <v>43</v>
      </c>
      <c r="C199">
        <f>IF(HR_analytics[[#This Row],[Attrition]]="Yes",1,0)</f>
        <v>0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3">
      <c r="A200">
        <v>38</v>
      </c>
      <c r="B200" t="s">
        <v>43</v>
      </c>
      <c r="C200">
        <f>IF(HR_analytics[[#This Row],[Attrition]]="Yes",1,0)</f>
        <v>0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t="s">
        <v>43</v>
      </c>
      <c r="C201">
        <f>IF(HR_analytics[[#This Row],[Attrition]]="Yes",1,0)</f>
        <v>0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3">
      <c r="A202">
        <v>27</v>
      </c>
      <c r="B202" t="s">
        <v>43</v>
      </c>
      <c r="C202">
        <f>IF(HR_analytics[[#This Row],[Attrition]]="Yes",1,0)</f>
        <v>0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3">
      <c r="A203">
        <v>49</v>
      </c>
      <c r="B203" t="s">
        <v>43</v>
      </c>
      <c r="C203">
        <f>IF(HR_analytics[[#This Row],[Attrition]]="Yes",1,0)</f>
        <v>0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3">
      <c r="A204">
        <v>34</v>
      </c>
      <c r="B204" t="s">
        <v>43</v>
      </c>
      <c r="C204">
        <f>IF(HR_analytics[[#This Row],[Attrition]]="Yes",1,0)</f>
        <v>0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3">
      <c r="A205">
        <v>40</v>
      </c>
      <c r="B205" t="s">
        <v>43</v>
      </c>
      <c r="C205">
        <f>IF(HR_analytics[[#This Row],[Attrition]]="Yes",1,0)</f>
        <v>0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3">
      <c r="A206">
        <v>38</v>
      </c>
      <c r="B206" t="s">
        <v>35</v>
      </c>
      <c r="C206">
        <f>IF(HR_analytics[[#This Row],[Attrition]]="Yes",1,0)</f>
        <v>1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3">
      <c r="A207">
        <v>29</v>
      </c>
      <c r="B207" t="s">
        <v>35</v>
      </c>
      <c r="C207">
        <f>IF(HR_analytics[[#This Row],[Attrition]]="Yes",1,0)</f>
        <v>1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3">
      <c r="A208">
        <v>22</v>
      </c>
      <c r="B208" t="s">
        <v>43</v>
      </c>
      <c r="C208">
        <f>IF(HR_analytics[[#This Row],[Attrition]]="Yes",1,0)</f>
        <v>0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3">
      <c r="A209">
        <v>36</v>
      </c>
      <c r="B209" t="s">
        <v>43</v>
      </c>
      <c r="C209">
        <f>IF(HR_analytics[[#This Row],[Attrition]]="Yes",1,0)</f>
        <v>0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3">
      <c r="A210">
        <v>40</v>
      </c>
      <c r="B210" t="s">
        <v>43</v>
      </c>
      <c r="C210">
        <f>IF(HR_analytics[[#This Row],[Attrition]]="Yes",1,0)</f>
        <v>0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3">
      <c r="A211">
        <v>46</v>
      </c>
      <c r="B211" t="s">
        <v>43</v>
      </c>
      <c r="C211">
        <f>IF(HR_analytics[[#This Row],[Attrition]]="Yes",1,0)</f>
        <v>0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3">
      <c r="A212">
        <v>32</v>
      </c>
      <c r="B212" t="s">
        <v>35</v>
      </c>
      <c r="C212">
        <f>IF(HR_analytics[[#This Row],[Attrition]]="Yes",1,0)</f>
        <v>1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3">
      <c r="A213">
        <v>30</v>
      </c>
      <c r="B213" t="s">
        <v>43</v>
      </c>
      <c r="C213">
        <f>IF(HR_analytics[[#This Row],[Attrition]]="Yes",1,0)</f>
        <v>0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3">
      <c r="A214">
        <v>27</v>
      </c>
      <c r="B214" t="s">
        <v>43</v>
      </c>
      <c r="C214">
        <f>IF(HR_analytics[[#This Row],[Attrition]]="Yes",1,0)</f>
        <v>0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3">
      <c r="A215">
        <v>51</v>
      </c>
      <c r="B215" t="s">
        <v>43</v>
      </c>
      <c r="C215">
        <f>IF(HR_analytics[[#This Row],[Attrition]]="Yes",1,0)</f>
        <v>0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3">
      <c r="A216">
        <v>30</v>
      </c>
      <c r="B216" t="s">
        <v>35</v>
      </c>
      <c r="C216">
        <f>IF(HR_analytics[[#This Row],[Attrition]]="Yes",1,0)</f>
        <v>1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3">
      <c r="A217">
        <v>41</v>
      </c>
      <c r="B217" t="s">
        <v>43</v>
      </c>
      <c r="C217">
        <f>IF(HR_analytics[[#This Row],[Attrition]]="Yes",1,0)</f>
        <v>0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t="s">
        <v>35</v>
      </c>
      <c r="C218">
        <f>IF(HR_analytics[[#This Row],[Attrition]]="Yes",1,0)</f>
        <v>1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3">
      <c r="A219">
        <v>29</v>
      </c>
      <c r="B219" t="s">
        <v>35</v>
      </c>
      <c r="C219">
        <f>IF(HR_analytics[[#This Row],[Attrition]]="Yes",1,0)</f>
        <v>1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3">
      <c r="A220">
        <v>45</v>
      </c>
      <c r="B220" t="s">
        <v>43</v>
      </c>
      <c r="C220">
        <f>IF(HR_analytics[[#This Row],[Attrition]]="Yes",1,0)</f>
        <v>0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3">
      <c r="A221">
        <v>54</v>
      </c>
      <c r="B221" t="s">
        <v>43</v>
      </c>
      <c r="C221">
        <f>IF(HR_analytics[[#This Row],[Attrition]]="Yes",1,0)</f>
        <v>0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3">
      <c r="A222">
        <v>36</v>
      </c>
      <c r="B222" t="s">
        <v>43</v>
      </c>
      <c r="C222">
        <f>IF(HR_analytics[[#This Row],[Attrition]]="Yes",1,0)</f>
        <v>0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3">
      <c r="A223">
        <v>33</v>
      </c>
      <c r="B223" t="s">
        <v>43</v>
      </c>
      <c r="C223">
        <f>IF(HR_analytics[[#This Row],[Attrition]]="Yes",1,0)</f>
        <v>0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3">
      <c r="A224">
        <v>37</v>
      </c>
      <c r="B224" t="s">
        <v>43</v>
      </c>
      <c r="C224">
        <f>IF(HR_analytics[[#This Row],[Attrition]]="Yes",1,0)</f>
        <v>0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3">
      <c r="A225">
        <v>38</v>
      </c>
      <c r="B225" t="s">
        <v>43</v>
      </c>
      <c r="C225">
        <f>IF(HR_analytics[[#This Row],[Attrition]]="Yes",1,0)</f>
        <v>0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3">
      <c r="A226">
        <v>31</v>
      </c>
      <c r="B226" t="s">
        <v>43</v>
      </c>
      <c r="C226">
        <f>IF(HR_analytics[[#This Row],[Attrition]]="Yes",1,0)</f>
        <v>0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3">
      <c r="A227">
        <v>59</v>
      </c>
      <c r="B227" t="s">
        <v>43</v>
      </c>
      <c r="C227">
        <f>IF(HR_analytics[[#This Row],[Attrition]]="Yes",1,0)</f>
        <v>0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t="s">
        <v>43</v>
      </c>
      <c r="C228">
        <f>IF(HR_analytics[[#This Row],[Attrition]]="Yes",1,0)</f>
        <v>0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3">
      <c r="A229">
        <v>29</v>
      </c>
      <c r="B229" t="s">
        <v>43</v>
      </c>
      <c r="C229">
        <f>IF(HR_analytics[[#This Row],[Attrition]]="Yes",1,0)</f>
        <v>0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3">
      <c r="A230">
        <v>35</v>
      </c>
      <c r="B230" t="s">
        <v>43</v>
      </c>
      <c r="C230">
        <f>IF(HR_analytics[[#This Row],[Attrition]]="Yes",1,0)</f>
        <v>0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3">
      <c r="A231">
        <v>29</v>
      </c>
      <c r="B231" t="s">
        <v>35</v>
      </c>
      <c r="C231">
        <f>IF(HR_analytics[[#This Row],[Attrition]]="Yes",1,0)</f>
        <v>1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3">
      <c r="A232">
        <v>52</v>
      </c>
      <c r="B232" t="s">
        <v>43</v>
      </c>
      <c r="C232">
        <f>IF(HR_analytics[[#This Row],[Attrition]]="Yes",1,0)</f>
        <v>0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3">
      <c r="A233">
        <v>42</v>
      </c>
      <c r="B233" t="s">
        <v>43</v>
      </c>
      <c r="C233">
        <f>IF(HR_analytics[[#This Row],[Attrition]]="Yes",1,0)</f>
        <v>0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3">
      <c r="A234">
        <v>59</v>
      </c>
      <c r="B234" t="s">
        <v>43</v>
      </c>
      <c r="C234">
        <f>IF(HR_analytics[[#This Row],[Attrition]]="Yes",1,0)</f>
        <v>0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3">
      <c r="A235">
        <v>50</v>
      </c>
      <c r="B235" t="s">
        <v>43</v>
      </c>
      <c r="C235">
        <f>IF(HR_analytics[[#This Row],[Attrition]]="Yes",1,0)</f>
        <v>0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3">
      <c r="A236">
        <v>33</v>
      </c>
      <c r="B236" t="s">
        <v>35</v>
      </c>
      <c r="C236">
        <f>IF(HR_analytics[[#This Row],[Attrition]]="Yes",1,0)</f>
        <v>1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3">
      <c r="A237">
        <v>43</v>
      </c>
      <c r="B237" t="s">
        <v>43</v>
      </c>
      <c r="C237">
        <f>IF(HR_analytics[[#This Row],[Attrition]]="Yes",1,0)</f>
        <v>0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3">
      <c r="A238">
        <v>33</v>
      </c>
      <c r="B238" t="s">
        <v>35</v>
      </c>
      <c r="C238">
        <f>IF(HR_analytics[[#This Row],[Attrition]]="Yes",1,0)</f>
        <v>1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3">
      <c r="A239">
        <v>52</v>
      </c>
      <c r="B239" t="s">
        <v>43</v>
      </c>
      <c r="C239">
        <f>IF(HR_analytics[[#This Row],[Attrition]]="Yes",1,0)</f>
        <v>0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3">
      <c r="A240">
        <v>32</v>
      </c>
      <c r="B240" t="s">
        <v>43</v>
      </c>
      <c r="C240">
        <f>IF(HR_analytics[[#This Row],[Attrition]]="Yes",1,0)</f>
        <v>0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3">
      <c r="A241">
        <v>32</v>
      </c>
      <c r="B241" t="s">
        <v>35</v>
      </c>
      <c r="C241">
        <f>IF(HR_analytics[[#This Row],[Attrition]]="Yes",1,0)</f>
        <v>1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3">
      <c r="A242">
        <v>39</v>
      </c>
      <c r="B242" t="s">
        <v>43</v>
      </c>
      <c r="C242">
        <f>IF(HR_analytics[[#This Row],[Attrition]]="Yes",1,0)</f>
        <v>0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3">
      <c r="A243">
        <v>32</v>
      </c>
      <c r="B243" t="s">
        <v>43</v>
      </c>
      <c r="C243">
        <f>IF(HR_analytics[[#This Row],[Attrition]]="Yes",1,0)</f>
        <v>0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3">
      <c r="A244">
        <v>41</v>
      </c>
      <c r="B244" t="s">
        <v>43</v>
      </c>
      <c r="C244">
        <f>IF(HR_analytics[[#This Row],[Attrition]]="Yes",1,0)</f>
        <v>0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t="s">
        <v>43</v>
      </c>
      <c r="C245">
        <f>IF(HR_analytics[[#This Row],[Attrition]]="Yes",1,0)</f>
        <v>0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3">
      <c r="A246">
        <v>45</v>
      </c>
      <c r="B246" t="s">
        <v>43</v>
      </c>
      <c r="C246">
        <f>IF(HR_analytics[[#This Row],[Attrition]]="Yes",1,0)</f>
        <v>0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3">
      <c r="A247">
        <v>31</v>
      </c>
      <c r="B247" t="s">
        <v>43</v>
      </c>
      <c r="C247">
        <f>IF(HR_analytics[[#This Row],[Attrition]]="Yes",1,0)</f>
        <v>0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3">
      <c r="A248">
        <v>33</v>
      </c>
      <c r="B248" t="s">
        <v>43</v>
      </c>
      <c r="C248">
        <f>IF(HR_analytics[[#This Row],[Attrition]]="Yes",1,0)</f>
        <v>0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3">
      <c r="A249">
        <v>34</v>
      </c>
      <c r="B249" t="s">
        <v>43</v>
      </c>
      <c r="C249">
        <f>IF(HR_analytics[[#This Row],[Attrition]]="Yes",1,0)</f>
        <v>0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3">
      <c r="A250">
        <v>37</v>
      </c>
      <c r="B250" t="s">
        <v>43</v>
      </c>
      <c r="C250">
        <f>IF(HR_analytics[[#This Row],[Attrition]]="Yes",1,0)</f>
        <v>0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3">
      <c r="A251">
        <v>45</v>
      </c>
      <c r="B251" t="s">
        <v>43</v>
      </c>
      <c r="C251">
        <f>IF(HR_analytics[[#This Row],[Attrition]]="Yes",1,0)</f>
        <v>0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3">
      <c r="A252">
        <v>37</v>
      </c>
      <c r="B252" t="s">
        <v>35</v>
      </c>
      <c r="C252">
        <f>IF(HR_analytics[[#This Row],[Attrition]]="Yes",1,0)</f>
        <v>1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3">
      <c r="A253">
        <v>39</v>
      </c>
      <c r="B253" t="s">
        <v>43</v>
      </c>
      <c r="C253">
        <f>IF(HR_analytics[[#This Row],[Attrition]]="Yes",1,0)</f>
        <v>0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3">
      <c r="A254">
        <v>29</v>
      </c>
      <c r="B254" t="s">
        <v>43</v>
      </c>
      <c r="C254">
        <f>IF(HR_analytics[[#This Row],[Attrition]]="Yes",1,0)</f>
        <v>0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3">
      <c r="A255">
        <v>42</v>
      </c>
      <c r="B255" t="s">
        <v>43</v>
      </c>
      <c r="C255">
        <f>IF(HR_analytics[[#This Row],[Attrition]]="Yes",1,0)</f>
        <v>0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3">
      <c r="A256">
        <v>29</v>
      </c>
      <c r="B256" t="s">
        <v>43</v>
      </c>
      <c r="C256">
        <f>IF(HR_analytics[[#This Row],[Attrition]]="Yes",1,0)</f>
        <v>0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3">
      <c r="A257">
        <v>25</v>
      </c>
      <c r="B257" t="s">
        <v>43</v>
      </c>
      <c r="C257">
        <f>IF(HR_analytics[[#This Row],[Attrition]]="Yes",1,0)</f>
        <v>0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3">
      <c r="A258">
        <v>42</v>
      </c>
      <c r="B258" t="s">
        <v>43</v>
      </c>
      <c r="C258">
        <f>IF(HR_analytics[[#This Row],[Attrition]]="Yes",1,0)</f>
        <v>0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3">
      <c r="A259">
        <v>40</v>
      </c>
      <c r="B259" t="s">
        <v>43</v>
      </c>
      <c r="C259">
        <f>IF(HR_analytics[[#This Row],[Attrition]]="Yes",1,0)</f>
        <v>0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3">
      <c r="A260">
        <v>51</v>
      </c>
      <c r="B260" t="s">
        <v>43</v>
      </c>
      <c r="C260">
        <f>IF(HR_analytics[[#This Row],[Attrition]]="Yes",1,0)</f>
        <v>0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t="s">
        <v>35</v>
      </c>
      <c r="C261">
        <f>IF(HR_analytics[[#This Row],[Attrition]]="Yes",1,0)</f>
        <v>1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3">
      <c r="A262">
        <v>32</v>
      </c>
      <c r="B262" t="s">
        <v>43</v>
      </c>
      <c r="C262">
        <f>IF(HR_analytics[[#This Row],[Attrition]]="Yes",1,0)</f>
        <v>0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3">
      <c r="A263">
        <v>38</v>
      </c>
      <c r="B263" t="s">
        <v>43</v>
      </c>
      <c r="C263">
        <f>IF(HR_analytics[[#This Row],[Attrition]]="Yes",1,0)</f>
        <v>0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3">
      <c r="A264">
        <v>32</v>
      </c>
      <c r="B264" t="s">
        <v>43</v>
      </c>
      <c r="C264">
        <f>IF(HR_analytics[[#This Row],[Attrition]]="Yes",1,0)</f>
        <v>0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3">
      <c r="A265">
        <v>46</v>
      </c>
      <c r="B265" t="s">
        <v>43</v>
      </c>
      <c r="C265">
        <f>IF(HR_analytics[[#This Row],[Attrition]]="Yes",1,0)</f>
        <v>0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3">
      <c r="A266">
        <v>28</v>
      </c>
      <c r="B266" t="s">
        <v>35</v>
      </c>
      <c r="C266">
        <f>IF(HR_analytics[[#This Row],[Attrition]]="Yes",1,0)</f>
        <v>1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29</v>
      </c>
      <c r="B267" t="s">
        <v>43</v>
      </c>
      <c r="C267">
        <f>IF(HR_analytics[[#This Row],[Attrition]]="Yes",1,0)</f>
        <v>0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t="s">
        <v>43</v>
      </c>
      <c r="C268">
        <f>IF(HR_analytics[[#This Row],[Attrition]]="Yes",1,0)</f>
        <v>0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3">
      <c r="A269">
        <v>25</v>
      </c>
      <c r="B269" t="s">
        <v>43</v>
      </c>
      <c r="C269">
        <f>IF(HR_analytics[[#This Row],[Attrition]]="Yes",1,0)</f>
        <v>0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3">
      <c r="A270">
        <v>45</v>
      </c>
      <c r="B270" t="s">
        <v>43</v>
      </c>
      <c r="C270">
        <f>IF(HR_analytics[[#This Row],[Attrition]]="Yes",1,0)</f>
        <v>0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3">
      <c r="A271">
        <v>36</v>
      </c>
      <c r="B271" t="s">
        <v>43</v>
      </c>
      <c r="C271">
        <f>IF(HR_analytics[[#This Row],[Attrition]]="Yes",1,0)</f>
        <v>0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3">
      <c r="A272">
        <v>55</v>
      </c>
      <c r="B272" t="s">
        <v>43</v>
      </c>
      <c r="C272">
        <f>IF(HR_analytics[[#This Row],[Attrition]]="Yes",1,0)</f>
        <v>0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3">
      <c r="A273">
        <v>47</v>
      </c>
      <c r="B273" t="s">
        <v>35</v>
      </c>
      <c r="C273">
        <f>IF(HR_analytics[[#This Row],[Attrition]]="Yes",1,0)</f>
        <v>1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3">
      <c r="A274">
        <v>28</v>
      </c>
      <c r="B274" t="s">
        <v>43</v>
      </c>
      <c r="C274">
        <f>IF(HR_analytics[[#This Row],[Attrition]]="Yes",1,0)</f>
        <v>0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3">
      <c r="A275">
        <v>37</v>
      </c>
      <c r="B275" t="s">
        <v>43</v>
      </c>
      <c r="C275">
        <f>IF(HR_analytics[[#This Row],[Attrition]]="Yes",1,0)</f>
        <v>0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3">
      <c r="A276">
        <v>21</v>
      </c>
      <c r="B276" t="s">
        <v>43</v>
      </c>
      <c r="C276">
        <f>IF(HR_analytics[[#This Row],[Attrition]]="Yes",1,0)</f>
        <v>0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3">
      <c r="A277">
        <v>37</v>
      </c>
      <c r="B277" t="s">
        <v>43</v>
      </c>
      <c r="C277">
        <f>IF(HR_analytics[[#This Row],[Attrition]]="Yes",1,0)</f>
        <v>0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3">
      <c r="A278">
        <v>35</v>
      </c>
      <c r="B278" t="s">
        <v>43</v>
      </c>
      <c r="C278">
        <f>IF(HR_analytics[[#This Row],[Attrition]]="Yes",1,0)</f>
        <v>0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3">
      <c r="A279">
        <v>38</v>
      </c>
      <c r="B279" t="s">
        <v>43</v>
      </c>
      <c r="C279">
        <f>IF(HR_analytics[[#This Row],[Attrition]]="Yes",1,0)</f>
        <v>0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3">
      <c r="A280">
        <v>26</v>
      </c>
      <c r="B280" t="s">
        <v>43</v>
      </c>
      <c r="C280">
        <f>IF(HR_analytics[[#This Row],[Attrition]]="Yes",1,0)</f>
        <v>0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3">
      <c r="A281">
        <v>50</v>
      </c>
      <c r="B281" t="s">
        <v>43</v>
      </c>
      <c r="C281">
        <f>IF(HR_analytics[[#This Row],[Attrition]]="Yes",1,0)</f>
        <v>0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3">
      <c r="A282">
        <v>53</v>
      </c>
      <c r="B282" t="s">
        <v>43</v>
      </c>
      <c r="C282">
        <f>IF(HR_analytics[[#This Row],[Attrition]]="Yes",1,0)</f>
        <v>0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3">
      <c r="A283">
        <v>42</v>
      </c>
      <c r="B283" t="s">
        <v>43</v>
      </c>
      <c r="C283">
        <f>IF(HR_analytics[[#This Row],[Attrition]]="Yes",1,0)</f>
        <v>0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3">
      <c r="A284">
        <v>29</v>
      </c>
      <c r="B284" t="s">
        <v>43</v>
      </c>
      <c r="C284">
        <f>IF(HR_analytics[[#This Row],[Attrition]]="Yes",1,0)</f>
        <v>0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3">
      <c r="A285">
        <v>55</v>
      </c>
      <c r="B285" t="s">
        <v>43</v>
      </c>
      <c r="C285">
        <f>IF(HR_analytics[[#This Row],[Attrition]]="Yes",1,0)</f>
        <v>0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3">
      <c r="A286">
        <v>26</v>
      </c>
      <c r="B286" t="s">
        <v>43</v>
      </c>
      <c r="C286">
        <f>IF(HR_analytics[[#This Row],[Attrition]]="Yes",1,0)</f>
        <v>0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3">
      <c r="A287">
        <v>37</v>
      </c>
      <c r="B287" t="s">
        <v>43</v>
      </c>
      <c r="C287">
        <f>IF(HR_analytics[[#This Row],[Attrition]]="Yes",1,0)</f>
        <v>0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3">
      <c r="A288">
        <v>44</v>
      </c>
      <c r="B288" t="s">
        <v>35</v>
      </c>
      <c r="C288">
        <f>IF(HR_analytics[[#This Row],[Attrition]]="Yes",1,0)</f>
        <v>1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3">
      <c r="A289">
        <v>38</v>
      </c>
      <c r="B289" t="s">
        <v>43</v>
      </c>
      <c r="C289">
        <f>IF(HR_analytics[[#This Row],[Attrition]]="Yes",1,0)</f>
        <v>0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3">
      <c r="A290">
        <v>26</v>
      </c>
      <c r="B290" t="s">
        <v>35</v>
      </c>
      <c r="C290">
        <f>IF(HR_analytics[[#This Row],[Attrition]]="Yes",1,0)</f>
        <v>1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3">
      <c r="A291">
        <v>28</v>
      </c>
      <c r="B291" t="s">
        <v>43</v>
      </c>
      <c r="C291">
        <f>IF(HR_analytics[[#This Row],[Attrition]]="Yes",1,0)</f>
        <v>0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3">
      <c r="A292">
        <v>49</v>
      </c>
      <c r="B292" t="s">
        <v>43</v>
      </c>
      <c r="C292">
        <f>IF(HR_analytics[[#This Row],[Attrition]]="Yes",1,0)</f>
        <v>0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3">
      <c r="A293">
        <v>36</v>
      </c>
      <c r="B293" t="s">
        <v>43</v>
      </c>
      <c r="C293">
        <f>IF(HR_analytics[[#This Row],[Attrition]]="Yes",1,0)</f>
        <v>0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3">
      <c r="A294">
        <v>31</v>
      </c>
      <c r="B294" t="s">
        <v>43</v>
      </c>
      <c r="C294">
        <f>IF(HR_analytics[[#This Row],[Attrition]]="Yes",1,0)</f>
        <v>0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3">
      <c r="A295">
        <v>26</v>
      </c>
      <c r="B295" t="s">
        <v>35</v>
      </c>
      <c r="C295">
        <f>IF(HR_analytics[[#This Row],[Attrition]]="Yes",1,0)</f>
        <v>1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3">
      <c r="A296">
        <v>37</v>
      </c>
      <c r="B296" t="s">
        <v>43</v>
      </c>
      <c r="C296">
        <f>IF(HR_analytics[[#This Row],[Attrition]]="Yes",1,0)</f>
        <v>0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3">
      <c r="A297">
        <v>42</v>
      </c>
      <c r="B297" t="s">
        <v>43</v>
      </c>
      <c r="C297">
        <f>IF(HR_analytics[[#This Row],[Attrition]]="Yes",1,0)</f>
        <v>0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3">
      <c r="A298">
        <v>18</v>
      </c>
      <c r="B298" t="s">
        <v>35</v>
      </c>
      <c r="C298">
        <f>IF(HR_analytics[[#This Row],[Attrition]]="Yes",1,0)</f>
        <v>1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>
        <v>35</v>
      </c>
      <c r="B299" t="s">
        <v>43</v>
      </c>
      <c r="C299">
        <f>IF(HR_analytics[[#This Row],[Attrition]]="Yes",1,0)</f>
        <v>0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3">
      <c r="A300">
        <v>36</v>
      </c>
      <c r="B300" t="s">
        <v>43</v>
      </c>
      <c r="C300">
        <f>IF(HR_analytics[[#This Row],[Attrition]]="Yes",1,0)</f>
        <v>0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t="s">
        <v>43</v>
      </c>
      <c r="C301">
        <f>IF(HR_analytics[[#This Row],[Attrition]]="Yes",1,0)</f>
        <v>0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3">
      <c r="A302">
        <v>41</v>
      </c>
      <c r="B302" t="s">
        <v>43</v>
      </c>
      <c r="C302">
        <f>IF(HR_analytics[[#This Row],[Attrition]]="Yes",1,0)</f>
        <v>0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3">
      <c r="A303">
        <v>18</v>
      </c>
      <c r="B303" t="s">
        <v>43</v>
      </c>
      <c r="C303">
        <f>IF(HR_analytics[[#This Row],[Attrition]]="Yes",1,0)</f>
        <v>0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t="s">
        <v>43</v>
      </c>
      <c r="C304">
        <f>IF(HR_analytics[[#This Row],[Attrition]]="Yes",1,0)</f>
        <v>0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3">
      <c r="A305">
        <v>31</v>
      </c>
      <c r="B305" t="s">
        <v>43</v>
      </c>
      <c r="C305">
        <f>IF(HR_analytics[[#This Row],[Attrition]]="Yes",1,0)</f>
        <v>0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3">
      <c r="A306">
        <v>39</v>
      </c>
      <c r="B306" t="s">
        <v>43</v>
      </c>
      <c r="C306">
        <f>IF(HR_analytics[[#This Row],[Attrition]]="Yes",1,0)</f>
        <v>0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3">
      <c r="A307">
        <v>36</v>
      </c>
      <c r="B307" t="s">
        <v>43</v>
      </c>
      <c r="C307">
        <f>IF(HR_analytics[[#This Row],[Attrition]]="Yes",1,0)</f>
        <v>0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3">
      <c r="A308">
        <v>32</v>
      </c>
      <c r="B308" t="s">
        <v>43</v>
      </c>
      <c r="C308">
        <f>IF(HR_analytics[[#This Row],[Attrition]]="Yes",1,0)</f>
        <v>0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3">
      <c r="A309">
        <v>38</v>
      </c>
      <c r="B309" t="s">
        <v>43</v>
      </c>
      <c r="C309">
        <f>IF(HR_analytics[[#This Row],[Attrition]]="Yes",1,0)</f>
        <v>0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3">
      <c r="A310">
        <v>58</v>
      </c>
      <c r="B310" t="s">
        <v>43</v>
      </c>
      <c r="C310">
        <f>IF(HR_analytics[[#This Row],[Attrition]]="Yes",1,0)</f>
        <v>0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3">
      <c r="A311">
        <v>31</v>
      </c>
      <c r="B311" t="s">
        <v>43</v>
      </c>
      <c r="C311">
        <f>IF(HR_analytics[[#This Row],[Attrition]]="Yes",1,0)</f>
        <v>0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3">
      <c r="A312">
        <v>31</v>
      </c>
      <c r="B312" t="s">
        <v>43</v>
      </c>
      <c r="C312">
        <f>IF(HR_analytics[[#This Row],[Attrition]]="Yes",1,0)</f>
        <v>0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3">
      <c r="A313">
        <v>45</v>
      </c>
      <c r="B313" t="s">
        <v>43</v>
      </c>
      <c r="C313">
        <f>IF(HR_analytics[[#This Row],[Attrition]]="Yes",1,0)</f>
        <v>0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3">
      <c r="A314">
        <v>31</v>
      </c>
      <c r="B314" t="s">
        <v>43</v>
      </c>
      <c r="C314">
        <f>IF(HR_analytics[[#This Row],[Attrition]]="Yes",1,0)</f>
        <v>0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3">
      <c r="A315">
        <v>33</v>
      </c>
      <c r="B315" t="s">
        <v>43</v>
      </c>
      <c r="C315">
        <f>IF(HR_analytics[[#This Row],[Attrition]]="Yes",1,0)</f>
        <v>0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3">
      <c r="A316">
        <v>39</v>
      </c>
      <c r="B316" t="s">
        <v>43</v>
      </c>
      <c r="C316">
        <f>IF(HR_analytics[[#This Row],[Attrition]]="Yes",1,0)</f>
        <v>0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3">
      <c r="A317">
        <v>43</v>
      </c>
      <c r="B317" t="s">
        <v>43</v>
      </c>
      <c r="C317">
        <f>IF(HR_analytics[[#This Row],[Attrition]]="Yes",1,0)</f>
        <v>0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3">
      <c r="A318">
        <v>49</v>
      </c>
      <c r="B318" t="s">
        <v>43</v>
      </c>
      <c r="C318">
        <f>IF(HR_analytics[[#This Row],[Attrition]]="Yes",1,0)</f>
        <v>0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3">
      <c r="A319">
        <v>52</v>
      </c>
      <c r="B319" t="s">
        <v>35</v>
      </c>
      <c r="C319">
        <f>IF(HR_analytics[[#This Row],[Attrition]]="Yes",1,0)</f>
        <v>1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3">
      <c r="A320">
        <v>27</v>
      </c>
      <c r="B320" t="s">
        <v>43</v>
      </c>
      <c r="C320">
        <f>IF(HR_analytics[[#This Row],[Attrition]]="Yes",1,0)</f>
        <v>0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3">
      <c r="A321">
        <v>32</v>
      </c>
      <c r="B321" t="s">
        <v>43</v>
      </c>
      <c r="C321">
        <f>IF(HR_analytics[[#This Row],[Attrition]]="Yes",1,0)</f>
        <v>0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3">
      <c r="A322">
        <v>27</v>
      </c>
      <c r="B322" t="s">
        <v>43</v>
      </c>
      <c r="C322">
        <f>IF(HR_analytics[[#This Row],[Attrition]]="Yes",1,0)</f>
        <v>0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3">
      <c r="A323">
        <v>31</v>
      </c>
      <c r="B323" t="s">
        <v>43</v>
      </c>
      <c r="C323">
        <f>IF(HR_analytics[[#This Row],[Attrition]]="Yes",1,0)</f>
        <v>0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3">
      <c r="A324">
        <v>32</v>
      </c>
      <c r="B324" t="s">
        <v>43</v>
      </c>
      <c r="C324">
        <f>IF(HR_analytics[[#This Row],[Attrition]]="Yes",1,0)</f>
        <v>0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3">
      <c r="A325">
        <v>28</v>
      </c>
      <c r="B325" t="s">
        <v>35</v>
      </c>
      <c r="C325">
        <f>IF(HR_analytics[[#This Row],[Attrition]]="Yes",1,0)</f>
        <v>1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3">
      <c r="A326">
        <v>30</v>
      </c>
      <c r="B326" t="s">
        <v>43</v>
      </c>
      <c r="C326">
        <f>IF(HR_analytics[[#This Row],[Attrition]]="Yes",1,0)</f>
        <v>0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3">
      <c r="A327">
        <v>31</v>
      </c>
      <c r="B327" t="s">
        <v>43</v>
      </c>
      <c r="C327">
        <f>IF(HR_analytics[[#This Row],[Attrition]]="Yes",1,0)</f>
        <v>0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3">
      <c r="A328">
        <v>39</v>
      </c>
      <c r="B328" t="s">
        <v>43</v>
      </c>
      <c r="C328">
        <f>IF(HR_analytics[[#This Row],[Attrition]]="Yes",1,0)</f>
        <v>0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3">
      <c r="A329">
        <v>39</v>
      </c>
      <c r="B329" t="s">
        <v>35</v>
      </c>
      <c r="C329">
        <f>IF(HR_analytics[[#This Row],[Attrition]]="Yes",1,0)</f>
        <v>1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3">
      <c r="A330">
        <v>33</v>
      </c>
      <c r="B330" t="s">
        <v>43</v>
      </c>
      <c r="C330">
        <f>IF(HR_analytics[[#This Row],[Attrition]]="Yes",1,0)</f>
        <v>0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3">
      <c r="A331">
        <v>47</v>
      </c>
      <c r="B331" t="s">
        <v>43</v>
      </c>
      <c r="C331">
        <f>IF(HR_analytics[[#This Row],[Attrition]]="Yes",1,0)</f>
        <v>0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3">
      <c r="A332">
        <v>43</v>
      </c>
      <c r="B332" t="s">
        <v>43</v>
      </c>
      <c r="C332">
        <f>IF(HR_analytics[[#This Row],[Attrition]]="Yes",1,0)</f>
        <v>0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3">
      <c r="A333">
        <v>27</v>
      </c>
      <c r="B333" t="s">
        <v>43</v>
      </c>
      <c r="C333">
        <f>IF(HR_analytics[[#This Row],[Attrition]]="Yes",1,0)</f>
        <v>0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3">
      <c r="A334">
        <v>54</v>
      </c>
      <c r="B334" t="s">
        <v>43</v>
      </c>
      <c r="C334">
        <f>IF(HR_analytics[[#This Row],[Attrition]]="Yes",1,0)</f>
        <v>0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3">
      <c r="A335">
        <v>43</v>
      </c>
      <c r="B335" t="s">
        <v>43</v>
      </c>
      <c r="C335">
        <f>IF(HR_analytics[[#This Row],[Attrition]]="Yes",1,0)</f>
        <v>0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t="s">
        <v>43</v>
      </c>
      <c r="C336">
        <f>IF(HR_analytics[[#This Row],[Attrition]]="Yes",1,0)</f>
        <v>0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3">
      <c r="A337">
        <v>40</v>
      </c>
      <c r="B337" t="s">
        <v>43</v>
      </c>
      <c r="C337">
        <f>IF(HR_analytics[[#This Row],[Attrition]]="Yes",1,0)</f>
        <v>0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3">
      <c r="A338">
        <v>29</v>
      </c>
      <c r="B338" t="s">
        <v>35</v>
      </c>
      <c r="C338">
        <f>IF(HR_analytics[[#This Row],[Attrition]]="Yes",1,0)</f>
        <v>1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3">
      <c r="A339">
        <v>29</v>
      </c>
      <c r="B339" t="s">
        <v>43</v>
      </c>
      <c r="C339">
        <f>IF(HR_analytics[[#This Row],[Attrition]]="Yes",1,0)</f>
        <v>0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3">
      <c r="A340">
        <v>30</v>
      </c>
      <c r="B340" t="s">
        <v>43</v>
      </c>
      <c r="C340">
        <f>IF(HR_analytics[[#This Row],[Attrition]]="Yes",1,0)</f>
        <v>0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3">
      <c r="A341">
        <v>27</v>
      </c>
      <c r="B341" t="s">
        <v>43</v>
      </c>
      <c r="C341">
        <f>IF(HR_analytics[[#This Row],[Attrition]]="Yes",1,0)</f>
        <v>0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3">
      <c r="A342">
        <v>37</v>
      </c>
      <c r="B342" t="s">
        <v>43</v>
      </c>
      <c r="C342">
        <f>IF(HR_analytics[[#This Row],[Attrition]]="Yes",1,0)</f>
        <v>0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3">
      <c r="A343">
        <v>38</v>
      </c>
      <c r="B343" t="s">
        <v>43</v>
      </c>
      <c r="C343">
        <f>IF(HR_analytics[[#This Row],[Attrition]]="Yes",1,0)</f>
        <v>0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3">
      <c r="A344">
        <v>31</v>
      </c>
      <c r="B344" t="s">
        <v>43</v>
      </c>
      <c r="C344">
        <f>IF(HR_analytics[[#This Row],[Attrition]]="Yes",1,0)</f>
        <v>0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3">
      <c r="A345">
        <v>29</v>
      </c>
      <c r="B345" t="s">
        <v>43</v>
      </c>
      <c r="C345">
        <f>IF(HR_analytics[[#This Row],[Attrition]]="Yes",1,0)</f>
        <v>0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3">
      <c r="A346">
        <v>35</v>
      </c>
      <c r="B346" t="s">
        <v>43</v>
      </c>
      <c r="C346">
        <f>IF(HR_analytics[[#This Row],[Attrition]]="Yes",1,0)</f>
        <v>0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3">
      <c r="A347">
        <v>23</v>
      </c>
      <c r="B347" t="s">
        <v>43</v>
      </c>
      <c r="C347">
        <f>IF(HR_analytics[[#This Row],[Attrition]]="Yes",1,0)</f>
        <v>0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3">
      <c r="A348">
        <v>41</v>
      </c>
      <c r="B348" t="s">
        <v>43</v>
      </c>
      <c r="C348">
        <f>IF(HR_analytics[[#This Row],[Attrition]]="Yes",1,0)</f>
        <v>0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3">
      <c r="A349">
        <v>47</v>
      </c>
      <c r="B349" t="s">
        <v>43</v>
      </c>
      <c r="C349">
        <f>IF(HR_analytics[[#This Row],[Attrition]]="Yes",1,0)</f>
        <v>0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t="s">
        <v>43</v>
      </c>
      <c r="C350">
        <f>IF(HR_analytics[[#This Row],[Attrition]]="Yes",1,0)</f>
        <v>0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t="s">
        <v>43</v>
      </c>
      <c r="C351">
        <f>IF(HR_analytics[[#This Row],[Attrition]]="Yes",1,0)</f>
        <v>0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3">
      <c r="A352">
        <v>42</v>
      </c>
      <c r="B352" t="s">
        <v>43</v>
      </c>
      <c r="C352">
        <f>IF(HR_analytics[[#This Row],[Attrition]]="Yes",1,0)</f>
        <v>0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3">
      <c r="A353">
        <v>32</v>
      </c>
      <c r="B353" t="s">
        <v>43</v>
      </c>
      <c r="C353">
        <f>IF(HR_analytics[[#This Row],[Attrition]]="Yes",1,0)</f>
        <v>0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3">
      <c r="A354">
        <v>48</v>
      </c>
      <c r="B354" t="s">
        <v>43</v>
      </c>
      <c r="C354">
        <f>IF(HR_analytics[[#This Row],[Attrition]]="Yes",1,0)</f>
        <v>0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t="s">
        <v>43</v>
      </c>
      <c r="C355">
        <f>IF(HR_analytics[[#This Row],[Attrition]]="Yes",1,0)</f>
        <v>0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3">
      <c r="A356">
        <v>30</v>
      </c>
      <c r="B356" t="s">
        <v>43</v>
      </c>
      <c r="C356">
        <f>IF(HR_analytics[[#This Row],[Attrition]]="Yes",1,0)</f>
        <v>0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3">
      <c r="A357">
        <v>26</v>
      </c>
      <c r="B357" t="s">
        <v>43</v>
      </c>
      <c r="C357">
        <f>IF(HR_analytics[[#This Row],[Attrition]]="Yes",1,0)</f>
        <v>0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3">
      <c r="A358">
        <v>42</v>
      </c>
      <c r="B358" t="s">
        <v>43</v>
      </c>
      <c r="C358">
        <f>IF(HR_analytics[[#This Row],[Attrition]]="Yes",1,0)</f>
        <v>0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t="s">
        <v>35</v>
      </c>
      <c r="C359">
        <f>IF(HR_analytics[[#This Row],[Attrition]]="Yes",1,0)</f>
        <v>1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3">
      <c r="A360">
        <v>36</v>
      </c>
      <c r="B360" t="s">
        <v>43</v>
      </c>
      <c r="C360">
        <f>IF(HR_analytics[[#This Row],[Attrition]]="Yes",1,0)</f>
        <v>0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t="s">
        <v>43</v>
      </c>
      <c r="C361">
        <f>IF(HR_analytics[[#This Row],[Attrition]]="Yes",1,0)</f>
        <v>0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3">
      <c r="A362">
        <v>57</v>
      </c>
      <c r="B362" t="s">
        <v>43</v>
      </c>
      <c r="C362">
        <f>IF(HR_analytics[[#This Row],[Attrition]]="Yes",1,0)</f>
        <v>0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3">
      <c r="A363">
        <v>40</v>
      </c>
      <c r="B363" t="s">
        <v>43</v>
      </c>
      <c r="C363">
        <f>IF(HR_analytics[[#This Row],[Attrition]]="Yes",1,0)</f>
        <v>0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3">
      <c r="A364">
        <v>21</v>
      </c>
      <c r="B364" t="s">
        <v>43</v>
      </c>
      <c r="C364">
        <f>IF(HR_analytics[[#This Row],[Attrition]]="Yes",1,0)</f>
        <v>0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3">
      <c r="A365">
        <v>33</v>
      </c>
      <c r="B365" t="s">
        <v>35</v>
      </c>
      <c r="C365">
        <f>IF(HR_analytics[[#This Row],[Attrition]]="Yes",1,0)</f>
        <v>1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3">
      <c r="A366">
        <v>37</v>
      </c>
      <c r="B366" t="s">
        <v>43</v>
      </c>
      <c r="C366">
        <f>IF(HR_analytics[[#This Row],[Attrition]]="Yes",1,0)</f>
        <v>0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3">
      <c r="A367">
        <v>46</v>
      </c>
      <c r="B367" t="s">
        <v>43</v>
      </c>
      <c r="C367">
        <f>IF(HR_analytics[[#This Row],[Attrition]]="Yes",1,0)</f>
        <v>0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t="s">
        <v>35</v>
      </c>
      <c r="C368">
        <f>IF(HR_analytics[[#This Row],[Attrition]]="Yes",1,0)</f>
        <v>1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3">
      <c r="A369">
        <v>50</v>
      </c>
      <c r="B369" t="s">
        <v>43</v>
      </c>
      <c r="C369">
        <f>IF(HR_analytics[[#This Row],[Attrition]]="Yes",1,0)</f>
        <v>0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3">
      <c r="A370">
        <v>40</v>
      </c>
      <c r="B370" t="s">
        <v>35</v>
      </c>
      <c r="C370">
        <f>IF(HR_analytics[[#This Row],[Attrition]]="Yes",1,0)</f>
        <v>1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3">
      <c r="A371">
        <v>31</v>
      </c>
      <c r="B371" t="s">
        <v>43</v>
      </c>
      <c r="C371">
        <f>IF(HR_analytics[[#This Row],[Attrition]]="Yes",1,0)</f>
        <v>0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3">
      <c r="A372">
        <v>21</v>
      </c>
      <c r="B372" t="s">
        <v>35</v>
      </c>
      <c r="C372">
        <f>IF(HR_analytics[[#This Row],[Attrition]]="Yes",1,0)</f>
        <v>1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3">
      <c r="A373">
        <v>29</v>
      </c>
      <c r="B373" t="s">
        <v>43</v>
      </c>
      <c r="C373">
        <f>IF(HR_analytics[[#This Row],[Attrition]]="Yes",1,0)</f>
        <v>0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3">
      <c r="A374">
        <v>35</v>
      </c>
      <c r="B374" t="s">
        <v>43</v>
      </c>
      <c r="C374">
        <f>IF(HR_analytics[[#This Row],[Attrition]]="Yes",1,0)</f>
        <v>0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3">
      <c r="A375">
        <v>27</v>
      </c>
      <c r="B375" t="s">
        <v>43</v>
      </c>
      <c r="C375">
        <f>IF(HR_analytics[[#This Row],[Attrition]]="Yes",1,0)</f>
        <v>0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3">
      <c r="A376">
        <v>28</v>
      </c>
      <c r="B376" t="s">
        <v>43</v>
      </c>
      <c r="C376">
        <f>IF(HR_analytics[[#This Row],[Attrition]]="Yes",1,0)</f>
        <v>0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3">
      <c r="A377">
        <v>49</v>
      </c>
      <c r="B377" t="s">
        <v>43</v>
      </c>
      <c r="C377">
        <f>IF(HR_analytics[[#This Row],[Attrition]]="Yes",1,0)</f>
        <v>0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3">
      <c r="A378">
        <v>51</v>
      </c>
      <c r="B378" t="s">
        <v>43</v>
      </c>
      <c r="C378">
        <f>IF(HR_analytics[[#This Row],[Attrition]]="Yes",1,0)</f>
        <v>0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3">
      <c r="A379">
        <v>36</v>
      </c>
      <c r="B379" t="s">
        <v>43</v>
      </c>
      <c r="C379">
        <f>IF(HR_analytics[[#This Row],[Attrition]]="Yes",1,0)</f>
        <v>0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3">
      <c r="A380">
        <v>34</v>
      </c>
      <c r="B380" t="s">
        <v>35</v>
      </c>
      <c r="C380">
        <f>IF(HR_analytics[[#This Row],[Attrition]]="Yes",1,0)</f>
        <v>1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3">
      <c r="A381">
        <v>55</v>
      </c>
      <c r="B381" t="s">
        <v>43</v>
      </c>
      <c r="C381">
        <f>IF(HR_analytics[[#This Row],[Attrition]]="Yes",1,0)</f>
        <v>0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3">
      <c r="A382">
        <v>24</v>
      </c>
      <c r="B382" t="s">
        <v>43</v>
      </c>
      <c r="C382">
        <f>IF(HR_analytics[[#This Row],[Attrition]]="Yes",1,0)</f>
        <v>0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3">
      <c r="A383">
        <v>30</v>
      </c>
      <c r="B383" t="s">
        <v>43</v>
      </c>
      <c r="C383">
        <f>IF(HR_analytics[[#This Row],[Attrition]]="Yes",1,0)</f>
        <v>0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t="s">
        <v>35</v>
      </c>
      <c r="C384">
        <f>IF(HR_analytics[[#This Row],[Attrition]]="Yes",1,0)</f>
        <v>1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3">
      <c r="A385">
        <v>22</v>
      </c>
      <c r="B385" t="s">
        <v>43</v>
      </c>
      <c r="C385">
        <f>IF(HR_analytics[[#This Row],[Attrition]]="Yes",1,0)</f>
        <v>0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3">
      <c r="A386">
        <v>36</v>
      </c>
      <c r="B386" t="s">
        <v>43</v>
      </c>
      <c r="C386">
        <f>IF(HR_analytics[[#This Row],[Attrition]]="Yes",1,0)</f>
        <v>0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3">
      <c r="A387">
        <v>30</v>
      </c>
      <c r="B387" t="s">
        <v>35</v>
      </c>
      <c r="C387">
        <f>IF(HR_analytics[[#This Row],[Attrition]]="Yes",1,0)</f>
        <v>1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3">
      <c r="A388">
        <v>37</v>
      </c>
      <c r="B388" t="s">
        <v>43</v>
      </c>
      <c r="C388">
        <f>IF(HR_analytics[[#This Row],[Attrition]]="Yes",1,0)</f>
        <v>0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3">
      <c r="A389">
        <v>40</v>
      </c>
      <c r="B389" t="s">
        <v>43</v>
      </c>
      <c r="C389">
        <f>IF(HR_analytics[[#This Row],[Attrition]]="Yes",1,0)</f>
        <v>0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3">
      <c r="A390">
        <v>42</v>
      </c>
      <c r="B390" t="s">
        <v>43</v>
      </c>
      <c r="C390">
        <f>IF(HR_analytics[[#This Row],[Attrition]]="Yes",1,0)</f>
        <v>0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3">
      <c r="A391">
        <v>37</v>
      </c>
      <c r="B391" t="s">
        <v>43</v>
      </c>
      <c r="C391">
        <f>IF(HR_analytics[[#This Row],[Attrition]]="Yes",1,0)</f>
        <v>0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3">
      <c r="A392">
        <v>43</v>
      </c>
      <c r="B392" t="s">
        <v>43</v>
      </c>
      <c r="C392">
        <f>IF(HR_analytics[[#This Row],[Attrition]]="Yes",1,0)</f>
        <v>0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3">
      <c r="A393">
        <v>40</v>
      </c>
      <c r="B393" t="s">
        <v>43</v>
      </c>
      <c r="C393">
        <f>IF(HR_analytics[[#This Row],[Attrition]]="Yes",1,0)</f>
        <v>0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t="s">
        <v>43</v>
      </c>
      <c r="C394">
        <f>IF(HR_analytics[[#This Row],[Attrition]]="Yes",1,0)</f>
        <v>0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3">
      <c r="A395">
        <v>34</v>
      </c>
      <c r="B395" t="s">
        <v>43</v>
      </c>
      <c r="C395">
        <f>IF(HR_analytics[[#This Row],[Attrition]]="Yes",1,0)</f>
        <v>0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3">
      <c r="A396">
        <v>31</v>
      </c>
      <c r="B396" t="s">
        <v>43</v>
      </c>
      <c r="C396">
        <f>IF(HR_analytics[[#This Row],[Attrition]]="Yes",1,0)</f>
        <v>0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3">
      <c r="A397">
        <v>43</v>
      </c>
      <c r="B397" t="s">
        <v>43</v>
      </c>
      <c r="C397">
        <f>IF(HR_analytics[[#This Row],[Attrition]]="Yes",1,0)</f>
        <v>0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3">
      <c r="A398">
        <v>43</v>
      </c>
      <c r="B398" t="s">
        <v>43</v>
      </c>
      <c r="C398">
        <f>IF(HR_analytics[[#This Row],[Attrition]]="Yes",1,0)</f>
        <v>0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3">
      <c r="A399">
        <v>25</v>
      </c>
      <c r="B399" t="s">
        <v>43</v>
      </c>
      <c r="C399">
        <f>IF(HR_analytics[[#This Row],[Attrition]]="Yes",1,0)</f>
        <v>0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3">
      <c r="A400">
        <v>37</v>
      </c>
      <c r="B400" t="s">
        <v>43</v>
      </c>
      <c r="C400">
        <f>IF(HR_analytics[[#This Row],[Attrition]]="Yes",1,0)</f>
        <v>0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3">
      <c r="A401">
        <v>31</v>
      </c>
      <c r="B401" t="s">
        <v>43</v>
      </c>
      <c r="C401">
        <f>IF(HR_analytics[[#This Row],[Attrition]]="Yes",1,0)</f>
        <v>0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3">
      <c r="A402">
        <v>39</v>
      </c>
      <c r="B402" t="s">
        <v>43</v>
      </c>
      <c r="C402">
        <f>IF(HR_analytics[[#This Row],[Attrition]]="Yes",1,0)</f>
        <v>0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3">
      <c r="A403">
        <v>56</v>
      </c>
      <c r="B403" t="s">
        <v>43</v>
      </c>
      <c r="C403">
        <f>IF(HR_analytics[[#This Row],[Attrition]]="Yes",1,0)</f>
        <v>0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3">
      <c r="A404">
        <v>30</v>
      </c>
      <c r="B404" t="s">
        <v>43</v>
      </c>
      <c r="C404">
        <f>IF(HR_analytics[[#This Row],[Attrition]]="Yes",1,0)</f>
        <v>0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3">
      <c r="A405">
        <v>41</v>
      </c>
      <c r="B405" t="s">
        <v>43</v>
      </c>
      <c r="C405">
        <f>IF(HR_analytics[[#This Row],[Attrition]]="Yes",1,0)</f>
        <v>0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3">
      <c r="A406">
        <v>28</v>
      </c>
      <c r="B406" t="s">
        <v>43</v>
      </c>
      <c r="C406">
        <f>IF(HR_analytics[[#This Row],[Attrition]]="Yes",1,0)</f>
        <v>0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3">
      <c r="A407">
        <v>25</v>
      </c>
      <c r="B407" t="s">
        <v>35</v>
      </c>
      <c r="C407">
        <f>IF(HR_analytics[[#This Row],[Attrition]]="Yes",1,0)</f>
        <v>1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3">
      <c r="A408">
        <v>52</v>
      </c>
      <c r="B408" t="s">
        <v>43</v>
      </c>
      <c r="C408">
        <f>IF(HR_analytics[[#This Row],[Attrition]]="Yes",1,0)</f>
        <v>0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3">
      <c r="A409">
        <v>45</v>
      </c>
      <c r="B409" t="s">
        <v>43</v>
      </c>
      <c r="C409">
        <f>IF(HR_analytics[[#This Row],[Attrition]]="Yes",1,0)</f>
        <v>0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3">
      <c r="A410">
        <v>52</v>
      </c>
      <c r="B410" t="s">
        <v>43</v>
      </c>
      <c r="C410">
        <f>IF(HR_analytics[[#This Row],[Attrition]]="Yes",1,0)</f>
        <v>0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3">
      <c r="A411">
        <v>42</v>
      </c>
      <c r="B411" t="s">
        <v>43</v>
      </c>
      <c r="C411">
        <f>IF(HR_analytics[[#This Row],[Attrition]]="Yes",1,0)</f>
        <v>0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3">
      <c r="A412">
        <v>30</v>
      </c>
      <c r="B412" t="s">
        <v>43</v>
      </c>
      <c r="C412">
        <f>IF(HR_analytics[[#This Row],[Attrition]]="Yes",1,0)</f>
        <v>0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3">
      <c r="A413">
        <v>60</v>
      </c>
      <c r="B413" t="s">
        <v>43</v>
      </c>
      <c r="C413">
        <f>IF(HR_analytics[[#This Row],[Attrition]]="Yes",1,0)</f>
        <v>0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3">
      <c r="A414">
        <v>46</v>
      </c>
      <c r="B414" t="s">
        <v>43</v>
      </c>
      <c r="C414">
        <f>IF(HR_analytics[[#This Row],[Attrition]]="Yes",1,0)</f>
        <v>0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3">
      <c r="A415">
        <v>42</v>
      </c>
      <c r="B415" t="s">
        <v>43</v>
      </c>
      <c r="C415">
        <f>IF(HR_analytics[[#This Row],[Attrition]]="Yes",1,0)</f>
        <v>0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3">
      <c r="A416">
        <v>24</v>
      </c>
      <c r="B416" t="s">
        <v>35</v>
      </c>
      <c r="C416">
        <f>IF(HR_analytics[[#This Row],[Attrition]]="Yes",1,0)</f>
        <v>1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3">
      <c r="A417">
        <v>34</v>
      </c>
      <c r="B417" t="s">
        <v>35</v>
      </c>
      <c r="C417">
        <f>IF(HR_analytics[[#This Row],[Attrition]]="Yes",1,0)</f>
        <v>1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3">
      <c r="A418">
        <v>38</v>
      </c>
      <c r="B418" t="s">
        <v>43</v>
      </c>
      <c r="C418">
        <f>IF(HR_analytics[[#This Row],[Attrition]]="Yes",1,0)</f>
        <v>0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t="s">
        <v>43</v>
      </c>
      <c r="C419">
        <f>IF(HR_analytics[[#This Row],[Attrition]]="Yes",1,0)</f>
        <v>0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3">
      <c r="A420">
        <v>26</v>
      </c>
      <c r="B420" t="s">
        <v>43</v>
      </c>
      <c r="C420">
        <f>IF(HR_analytics[[#This Row],[Attrition]]="Yes",1,0)</f>
        <v>0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3">
      <c r="A421">
        <v>30</v>
      </c>
      <c r="B421" t="s">
        <v>43</v>
      </c>
      <c r="C421">
        <f>IF(HR_analytics[[#This Row],[Attrition]]="Yes",1,0)</f>
        <v>0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3">
      <c r="A422">
        <v>29</v>
      </c>
      <c r="B422" t="s">
        <v>43</v>
      </c>
      <c r="C422">
        <f>IF(HR_analytics[[#This Row],[Attrition]]="Yes",1,0)</f>
        <v>0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3">
      <c r="A423">
        <v>29</v>
      </c>
      <c r="B423" t="s">
        <v>35</v>
      </c>
      <c r="C423">
        <f>IF(HR_analytics[[#This Row],[Attrition]]="Yes",1,0)</f>
        <v>1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3">
      <c r="A424">
        <v>19</v>
      </c>
      <c r="B424" t="s">
        <v>35</v>
      </c>
      <c r="C424">
        <f>IF(HR_analytics[[#This Row],[Attrition]]="Yes",1,0)</f>
        <v>1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3">
      <c r="A425">
        <v>30</v>
      </c>
      <c r="B425" t="s">
        <v>43</v>
      </c>
      <c r="C425">
        <f>IF(HR_analytics[[#This Row],[Attrition]]="Yes",1,0)</f>
        <v>0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3">
      <c r="A426">
        <v>57</v>
      </c>
      <c r="B426" t="s">
        <v>43</v>
      </c>
      <c r="C426">
        <f>IF(HR_analytics[[#This Row],[Attrition]]="Yes",1,0)</f>
        <v>0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t="s">
        <v>43</v>
      </c>
      <c r="C427">
        <f>IF(HR_analytics[[#This Row],[Attrition]]="Yes",1,0)</f>
        <v>0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3">
      <c r="A428">
        <v>30</v>
      </c>
      <c r="B428" t="s">
        <v>43</v>
      </c>
      <c r="C428">
        <f>IF(HR_analytics[[#This Row],[Attrition]]="Yes",1,0)</f>
        <v>0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3">
      <c r="A429">
        <v>60</v>
      </c>
      <c r="B429" t="s">
        <v>43</v>
      </c>
      <c r="C429">
        <f>IF(HR_analytics[[#This Row],[Attrition]]="Yes",1,0)</f>
        <v>0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3">
      <c r="A430">
        <v>47</v>
      </c>
      <c r="B430" t="s">
        <v>43</v>
      </c>
      <c r="C430">
        <f>IF(HR_analytics[[#This Row],[Attrition]]="Yes",1,0)</f>
        <v>0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3">
      <c r="A431">
        <v>46</v>
      </c>
      <c r="B431" t="s">
        <v>43</v>
      </c>
      <c r="C431">
        <f>IF(HR_analytics[[#This Row],[Attrition]]="Yes",1,0)</f>
        <v>0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3">
      <c r="A432">
        <v>35</v>
      </c>
      <c r="B432" t="s">
        <v>43</v>
      </c>
      <c r="C432">
        <f>IF(HR_analytics[[#This Row],[Attrition]]="Yes",1,0)</f>
        <v>0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3">
      <c r="A433">
        <v>54</v>
      </c>
      <c r="B433" t="s">
        <v>43</v>
      </c>
      <c r="C433">
        <f>IF(HR_analytics[[#This Row],[Attrition]]="Yes",1,0)</f>
        <v>0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t="s">
        <v>43</v>
      </c>
      <c r="C434">
        <f>IF(HR_analytics[[#This Row],[Attrition]]="Yes",1,0)</f>
        <v>0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3">
      <c r="A435">
        <v>46</v>
      </c>
      <c r="B435" t="s">
        <v>43</v>
      </c>
      <c r="C435">
        <f>IF(HR_analytics[[#This Row],[Attrition]]="Yes",1,0)</f>
        <v>0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3">
      <c r="A436">
        <v>31</v>
      </c>
      <c r="B436" t="s">
        <v>43</v>
      </c>
      <c r="C436">
        <f>IF(HR_analytics[[#This Row],[Attrition]]="Yes",1,0)</f>
        <v>0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3">
      <c r="A437">
        <v>33</v>
      </c>
      <c r="B437" t="s">
        <v>35</v>
      </c>
      <c r="C437">
        <f>IF(HR_analytics[[#This Row],[Attrition]]="Yes",1,0)</f>
        <v>1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3">
      <c r="A438">
        <v>33</v>
      </c>
      <c r="B438" t="s">
        <v>35</v>
      </c>
      <c r="C438">
        <f>IF(HR_analytics[[#This Row],[Attrition]]="Yes",1,0)</f>
        <v>1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3">
      <c r="A439">
        <v>30</v>
      </c>
      <c r="B439" t="s">
        <v>43</v>
      </c>
      <c r="C439">
        <f>IF(HR_analytics[[#This Row],[Attrition]]="Yes",1,0)</f>
        <v>0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3">
      <c r="A440">
        <v>35</v>
      </c>
      <c r="B440" t="s">
        <v>43</v>
      </c>
      <c r="C440">
        <f>IF(HR_analytics[[#This Row],[Attrition]]="Yes",1,0)</f>
        <v>0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3">
      <c r="A441">
        <v>31</v>
      </c>
      <c r="B441" t="s">
        <v>35</v>
      </c>
      <c r="C441">
        <f>IF(HR_analytics[[#This Row],[Attrition]]="Yes",1,0)</f>
        <v>1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3">
      <c r="A442">
        <v>34</v>
      </c>
      <c r="B442" t="s">
        <v>35</v>
      </c>
      <c r="C442">
        <f>IF(HR_analytics[[#This Row],[Attrition]]="Yes",1,0)</f>
        <v>1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3">
      <c r="A443">
        <v>42</v>
      </c>
      <c r="B443" t="s">
        <v>43</v>
      </c>
      <c r="C443">
        <f>IF(HR_analytics[[#This Row],[Attrition]]="Yes",1,0)</f>
        <v>0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3">
      <c r="A444">
        <v>36</v>
      </c>
      <c r="B444" t="s">
        <v>43</v>
      </c>
      <c r="C444">
        <f>IF(HR_analytics[[#This Row],[Attrition]]="Yes",1,0)</f>
        <v>0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3">
      <c r="A445">
        <v>22</v>
      </c>
      <c r="B445" t="s">
        <v>35</v>
      </c>
      <c r="C445">
        <f>IF(HR_analytics[[#This Row],[Attrition]]="Yes",1,0)</f>
        <v>1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3">
      <c r="A446">
        <v>48</v>
      </c>
      <c r="B446" t="s">
        <v>43</v>
      </c>
      <c r="C446">
        <f>IF(HR_analytics[[#This Row],[Attrition]]="Yes",1,0)</f>
        <v>0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3">
      <c r="A447">
        <v>55</v>
      </c>
      <c r="B447" t="s">
        <v>43</v>
      </c>
      <c r="C447">
        <f>IF(HR_analytics[[#This Row],[Attrition]]="Yes",1,0)</f>
        <v>0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3">
      <c r="A448">
        <v>41</v>
      </c>
      <c r="B448" t="s">
        <v>43</v>
      </c>
      <c r="C448">
        <f>IF(HR_analytics[[#This Row],[Attrition]]="Yes",1,0)</f>
        <v>0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3">
      <c r="A449">
        <v>35</v>
      </c>
      <c r="B449" t="s">
        <v>43</v>
      </c>
      <c r="C449">
        <f>IF(HR_analytics[[#This Row],[Attrition]]="Yes",1,0)</f>
        <v>0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3">
      <c r="A450">
        <v>40</v>
      </c>
      <c r="B450" t="s">
        <v>43</v>
      </c>
      <c r="C450">
        <f>IF(HR_analytics[[#This Row],[Attrition]]="Yes",1,0)</f>
        <v>0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3">
      <c r="A451">
        <v>39</v>
      </c>
      <c r="B451" t="s">
        <v>43</v>
      </c>
      <c r="C451">
        <f>IF(HR_analytics[[#This Row],[Attrition]]="Yes",1,0)</f>
        <v>0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3">
      <c r="A452">
        <v>31</v>
      </c>
      <c r="B452" t="s">
        <v>43</v>
      </c>
      <c r="C452">
        <f>IF(HR_analytics[[#This Row],[Attrition]]="Yes",1,0)</f>
        <v>0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3">
      <c r="A453">
        <v>42</v>
      </c>
      <c r="B453" t="s">
        <v>43</v>
      </c>
      <c r="C453">
        <f>IF(HR_analytics[[#This Row],[Attrition]]="Yes",1,0)</f>
        <v>0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3">
      <c r="A454">
        <v>45</v>
      </c>
      <c r="B454" t="s">
        <v>43</v>
      </c>
      <c r="C454">
        <f>IF(HR_analytics[[#This Row],[Attrition]]="Yes",1,0)</f>
        <v>0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3">
      <c r="A455">
        <v>26</v>
      </c>
      <c r="B455" t="s">
        <v>35</v>
      </c>
      <c r="C455">
        <f>IF(HR_analytics[[#This Row],[Attrition]]="Yes",1,0)</f>
        <v>1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3">
      <c r="A456">
        <v>29</v>
      </c>
      <c r="B456" t="s">
        <v>43</v>
      </c>
      <c r="C456">
        <f>IF(HR_analytics[[#This Row],[Attrition]]="Yes",1,0)</f>
        <v>0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3">
      <c r="A457">
        <v>33</v>
      </c>
      <c r="B457" t="s">
        <v>43</v>
      </c>
      <c r="C457">
        <f>IF(HR_analytics[[#This Row],[Attrition]]="Yes",1,0)</f>
        <v>0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3">
      <c r="A458">
        <v>31</v>
      </c>
      <c r="B458" t="s">
        <v>43</v>
      </c>
      <c r="C458">
        <f>IF(HR_analytics[[#This Row],[Attrition]]="Yes",1,0)</f>
        <v>0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3">
      <c r="A459">
        <v>18</v>
      </c>
      <c r="B459" t="s">
        <v>35</v>
      </c>
      <c r="C459">
        <f>IF(HR_analytics[[#This Row],[Attrition]]="Yes",1,0)</f>
        <v>1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>
        <v>40</v>
      </c>
      <c r="B460" t="s">
        <v>43</v>
      </c>
      <c r="C460">
        <f>IF(HR_analytics[[#This Row],[Attrition]]="Yes",1,0)</f>
        <v>0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3">
      <c r="A461">
        <v>41</v>
      </c>
      <c r="B461" t="s">
        <v>43</v>
      </c>
      <c r="C461">
        <f>IF(HR_analytics[[#This Row],[Attrition]]="Yes",1,0)</f>
        <v>0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3">
      <c r="A462">
        <v>26</v>
      </c>
      <c r="B462" t="s">
        <v>43</v>
      </c>
      <c r="C462">
        <f>IF(HR_analytics[[#This Row],[Attrition]]="Yes",1,0)</f>
        <v>0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t="s">
        <v>43</v>
      </c>
      <c r="C463">
        <f>IF(HR_analytics[[#This Row],[Attrition]]="Yes",1,0)</f>
        <v>0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3">
      <c r="A464">
        <v>34</v>
      </c>
      <c r="B464" t="s">
        <v>43</v>
      </c>
      <c r="C464">
        <f>IF(HR_analytics[[#This Row],[Attrition]]="Yes",1,0)</f>
        <v>0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3">
      <c r="A465">
        <v>26</v>
      </c>
      <c r="B465" t="s">
        <v>35</v>
      </c>
      <c r="C465">
        <f>IF(HR_analytics[[#This Row],[Attrition]]="Yes",1,0)</f>
        <v>1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3">
      <c r="A466">
        <v>37</v>
      </c>
      <c r="B466" t="s">
        <v>43</v>
      </c>
      <c r="C466">
        <f>IF(HR_analytics[[#This Row],[Attrition]]="Yes",1,0)</f>
        <v>0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3">
      <c r="A467">
        <v>46</v>
      </c>
      <c r="B467" t="s">
        <v>43</v>
      </c>
      <c r="C467">
        <f>IF(HR_analytics[[#This Row],[Attrition]]="Yes",1,0)</f>
        <v>0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3">
      <c r="A468">
        <v>41</v>
      </c>
      <c r="B468" t="s">
        <v>43</v>
      </c>
      <c r="C468">
        <f>IF(HR_analytics[[#This Row],[Attrition]]="Yes",1,0)</f>
        <v>0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3">
      <c r="A469">
        <v>37</v>
      </c>
      <c r="B469" t="s">
        <v>43</v>
      </c>
      <c r="C469">
        <f>IF(HR_analytics[[#This Row],[Attrition]]="Yes",1,0)</f>
        <v>0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3">
      <c r="A470">
        <v>52</v>
      </c>
      <c r="B470" t="s">
        <v>43</v>
      </c>
      <c r="C470">
        <f>IF(HR_analytics[[#This Row],[Attrition]]="Yes",1,0)</f>
        <v>0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3">
      <c r="A471">
        <v>32</v>
      </c>
      <c r="B471" t="s">
        <v>35</v>
      </c>
      <c r="C471">
        <f>IF(HR_analytics[[#This Row],[Attrition]]="Yes",1,0)</f>
        <v>1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3">
      <c r="A472">
        <v>24</v>
      </c>
      <c r="B472" t="s">
        <v>43</v>
      </c>
      <c r="C472">
        <f>IF(HR_analytics[[#This Row],[Attrition]]="Yes",1,0)</f>
        <v>0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3">
      <c r="A473">
        <v>38</v>
      </c>
      <c r="B473" t="s">
        <v>43</v>
      </c>
      <c r="C473">
        <f>IF(HR_analytics[[#This Row],[Attrition]]="Yes",1,0)</f>
        <v>0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t="s">
        <v>43</v>
      </c>
      <c r="C474">
        <f>IF(HR_analytics[[#This Row],[Attrition]]="Yes",1,0)</f>
        <v>0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3">
      <c r="A475">
        <v>49</v>
      </c>
      <c r="B475" t="s">
        <v>43</v>
      </c>
      <c r="C475">
        <f>IF(HR_analytics[[#This Row],[Attrition]]="Yes",1,0)</f>
        <v>0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3">
      <c r="A476">
        <v>24</v>
      </c>
      <c r="B476" t="s">
        <v>43</v>
      </c>
      <c r="C476">
        <f>IF(HR_analytics[[#This Row],[Attrition]]="Yes",1,0)</f>
        <v>0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3">
      <c r="A477">
        <v>26</v>
      </c>
      <c r="B477" t="s">
        <v>43</v>
      </c>
      <c r="C477">
        <f>IF(HR_analytics[[#This Row],[Attrition]]="Yes",1,0)</f>
        <v>0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3">
      <c r="A478">
        <v>24</v>
      </c>
      <c r="B478" t="s">
        <v>43</v>
      </c>
      <c r="C478">
        <f>IF(HR_analytics[[#This Row],[Attrition]]="Yes",1,0)</f>
        <v>0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t="s">
        <v>43</v>
      </c>
      <c r="C479">
        <f>IF(HR_analytics[[#This Row],[Attrition]]="Yes",1,0)</f>
        <v>0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3">
      <c r="A480">
        <v>25</v>
      </c>
      <c r="B480" t="s">
        <v>43</v>
      </c>
      <c r="C480">
        <f>IF(HR_analytics[[#This Row],[Attrition]]="Yes",1,0)</f>
        <v>0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3">
      <c r="A481">
        <v>24</v>
      </c>
      <c r="B481" t="s">
        <v>35</v>
      </c>
      <c r="C481">
        <f>IF(HR_analytics[[#This Row],[Attrition]]="Yes",1,0)</f>
        <v>1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3">
      <c r="A482">
        <v>30</v>
      </c>
      <c r="B482" t="s">
        <v>35</v>
      </c>
      <c r="C482">
        <f>IF(HR_analytics[[#This Row],[Attrition]]="Yes",1,0)</f>
        <v>1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3">
      <c r="A483">
        <v>34</v>
      </c>
      <c r="B483" t="s">
        <v>43</v>
      </c>
      <c r="C483">
        <f>IF(HR_analytics[[#This Row],[Attrition]]="Yes",1,0)</f>
        <v>0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3">
      <c r="A484">
        <v>31</v>
      </c>
      <c r="B484" t="s">
        <v>35</v>
      </c>
      <c r="C484">
        <f>IF(HR_analytics[[#This Row],[Attrition]]="Yes",1,0)</f>
        <v>1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3">
      <c r="A485">
        <v>35</v>
      </c>
      <c r="B485" t="s">
        <v>43</v>
      </c>
      <c r="C485">
        <f>IF(HR_analytics[[#This Row],[Attrition]]="Yes",1,0)</f>
        <v>0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3">
      <c r="A486">
        <v>31</v>
      </c>
      <c r="B486" t="s">
        <v>43</v>
      </c>
      <c r="C486">
        <f>IF(HR_analytics[[#This Row],[Attrition]]="Yes",1,0)</f>
        <v>0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3">
      <c r="A487">
        <v>27</v>
      </c>
      <c r="B487" t="s">
        <v>43</v>
      </c>
      <c r="C487">
        <f>IF(HR_analytics[[#This Row],[Attrition]]="Yes",1,0)</f>
        <v>0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3">
      <c r="A488">
        <v>37</v>
      </c>
      <c r="B488" t="s">
        <v>43</v>
      </c>
      <c r="C488">
        <f>IF(HR_analytics[[#This Row],[Attrition]]="Yes",1,0)</f>
        <v>0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3">
      <c r="A489">
        <v>20</v>
      </c>
      <c r="B489" t="s">
        <v>43</v>
      </c>
      <c r="C489">
        <f>IF(HR_analytics[[#This Row],[Attrition]]="Yes",1,0)</f>
        <v>0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t="s">
        <v>43</v>
      </c>
      <c r="C490">
        <f>IF(HR_analytics[[#This Row],[Attrition]]="Yes",1,0)</f>
        <v>0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3">
      <c r="A491">
        <v>43</v>
      </c>
      <c r="B491" t="s">
        <v>43</v>
      </c>
      <c r="C491">
        <f>IF(HR_analytics[[#This Row],[Attrition]]="Yes",1,0)</f>
        <v>0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t="s">
        <v>43</v>
      </c>
      <c r="C492">
        <f>IF(HR_analytics[[#This Row],[Attrition]]="Yes",1,0)</f>
        <v>0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t="s">
        <v>43</v>
      </c>
      <c r="C493">
        <f>IF(HR_analytics[[#This Row],[Attrition]]="Yes",1,0)</f>
        <v>0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3">
      <c r="A494">
        <v>48</v>
      </c>
      <c r="B494" t="s">
        <v>43</v>
      </c>
      <c r="C494">
        <f>IF(HR_analytics[[#This Row],[Attrition]]="Yes",1,0)</f>
        <v>0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3">
      <c r="A495">
        <v>44</v>
      </c>
      <c r="B495" t="s">
        <v>43</v>
      </c>
      <c r="C495">
        <f>IF(HR_analytics[[#This Row],[Attrition]]="Yes",1,0)</f>
        <v>0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3">
      <c r="A496">
        <v>34</v>
      </c>
      <c r="B496" t="s">
        <v>43</v>
      </c>
      <c r="C496">
        <f>IF(HR_analytics[[#This Row],[Attrition]]="Yes",1,0)</f>
        <v>0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3">
      <c r="A497">
        <v>27</v>
      </c>
      <c r="B497" t="s">
        <v>35</v>
      </c>
      <c r="C497">
        <f>IF(HR_analytics[[#This Row],[Attrition]]="Yes",1,0)</f>
        <v>1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3">
      <c r="A498">
        <v>21</v>
      </c>
      <c r="B498" t="s">
        <v>43</v>
      </c>
      <c r="C498">
        <f>IF(HR_analytics[[#This Row],[Attrition]]="Yes",1,0)</f>
        <v>0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3">
      <c r="A499">
        <v>44</v>
      </c>
      <c r="B499" t="s">
        <v>43</v>
      </c>
      <c r="C499">
        <f>IF(HR_analytics[[#This Row],[Attrition]]="Yes",1,0)</f>
        <v>0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3">
      <c r="A500">
        <v>22</v>
      </c>
      <c r="B500" t="s">
        <v>43</v>
      </c>
      <c r="C500">
        <f>IF(HR_analytics[[#This Row],[Attrition]]="Yes",1,0)</f>
        <v>0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3">
      <c r="A501">
        <v>33</v>
      </c>
      <c r="B501" t="s">
        <v>43</v>
      </c>
      <c r="C501">
        <f>IF(HR_analytics[[#This Row],[Attrition]]="Yes",1,0)</f>
        <v>0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3">
      <c r="A502">
        <v>32</v>
      </c>
      <c r="B502" t="s">
        <v>43</v>
      </c>
      <c r="C502">
        <f>IF(HR_analytics[[#This Row],[Attrition]]="Yes",1,0)</f>
        <v>0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3">
      <c r="A503">
        <v>30</v>
      </c>
      <c r="B503" t="s">
        <v>43</v>
      </c>
      <c r="C503">
        <f>IF(HR_analytics[[#This Row],[Attrition]]="Yes",1,0)</f>
        <v>0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t="s">
        <v>43</v>
      </c>
      <c r="C504">
        <f>IF(HR_analytics[[#This Row],[Attrition]]="Yes",1,0)</f>
        <v>0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3">
      <c r="A505">
        <v>34</v>
      </c>
      <c r="B505" t="s">
        <v>43</v>
      </c>
      <c r="C505">
        <f>IF(HR_analytics[[#This Row],[Attrition]]="Yes",1,0)</f>
        <v>0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3">
      <c r="A506">
        <v>45</v>
      </c>
      <c r="B506" t="s">
        <v>35</v>
      </c>
      <c r="C506">
        <f>IF(HR_analytics[[#This Row],[Attrition]]="Yes",1,0)</f>
        <v>1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3">
      <c r="A507">
        <v>26</v>
      </c>
      <c r="B507" t="s">
        <v>43</v>
      </c>
      <c r="C507">
        <f>IF(HR_analytics[[#This Row],[Attrition]]="Yes",1,0)</f>
        <v>0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3">
      <c r="A508">
        <v>37</v>
      </c>
      <c r="B508" t="s">
        <v>43</v>
      </c>
      <c r="C508">
        <f>IF(HR_analytics[[#This Row],[Attrition]]="Yes",1,0)</f>
        <v>0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3">
      <c r="A509">
        <v>29</v>
      </c>
      <c r="B509" t="s">
        <v>43</v>
      </c>
      <c r="C509">
        <f>IF(HR_analytics[[#This Row],[Attrition]]="Yes",1,0)</f>
        <v>0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3">
      <c r="A510">
        <v>35</v>
      </c>
      <c r="B510" t="s">
        <v>43</v>
      </c>
      <c r="C510">
        <f>IF(HR_analytics[[#This Row],[Attrition]]="Yes",1,0)</f>
        <v>0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3">
      <c r="A511">
        <v>33</v>
      </c>
      <c r="B511" t="s">
        <v>43</v>
      </c>
      <c r="C511">
        <f>IF(HR_analytics[[#This Row],[Attrition]]="Yes",1,0)</f>
        <v>0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3">
      <c r="A512">
        <v>54</v>
      </c>
      <c r="B512" t="s">
        <v>43</v>
      </c>
      <c r="C512">
        <f>IF(HR_analytics[[#This Row],[Attrition]]="Yes",1,0)</f>
        <v>0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3">
      <c r="A513">
        <v>36</v>
      </c>
      <c r="B513" t="s">
        <v>43</v>
      </c>
      <c r="C513">
        <f>IF(HR_analytics[[#This Row],[Attrition]]="Yes",1,0)</f>
        <v>0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3">
      <c r="A514">
        <v>27</v>
      </c>
      <c r="B514" t="s">
        <v>43</v>
      </c>
      <c r="C514">
        <f>IF(HR_analytics[[#This Row],[Attrition]]="Yes",1,0)</f>
        <v>0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3">
      <c r="A515">
        <v>20</v>
      </c>
      <c r="B515" t="s">
        <v>35</v>
      </c>
      <c r="C515">
        <f>IF(HR_analytics[[#This Row],[Attrition]]="Yes",1,0)</f>
        <v>1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3">
      <c r="A516">
        <v>33</v>
      </c>
      <c r="B516" t="s">
        <v>35</v>
      </c>
      <c r="C516">
        <f>IF(HR_analytics[[#This Row],[Attrition]]="Yes",1,0)</f>
        <v>1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3">
      <c r="A517">
        <v>35</v>
      </c>
      <c r="B517" t="s">
        <v>43</v>
      </c>
      <c r="C517">
        <f>IF(HR_analytics[[#This Row],[Attrition]]="Yes",1,0)</f>
        <v>0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t="s">
        <v>43</v>
      </c>
      <c r="C518">
        <f>IF(HR_analytics[[#This Row],[Attrition]]="Yes",1,0)</f>
        <v>0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3">
      <c r="A519">
        <v>25</v>
      </c>
      <c r="B519" t="s">
        <v>43</v>
      </c>
      <c r="C519">
        <f>IF(HR_analytics[[#This Row],[Attrition]]="Yes",1,0)</f>
        <v>0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3">
      <c r="A520">
        <v>38</v>
      </c>
      <c r="B520" t="s">
        <v>43</v>
      </c>
      <c r="C520">
        <f>IF(HR_analytics[[#This Row],[Attrition]]="Yes",1,0)</f>
        <v>0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3">
      <c r="A521">
        <v>29</v>
      </c>
      <c r="B521" t="s">
        <v>43</v>
      </c>
      <c r="C521">
        <f>IF(HR_analytics[[#This Row],[Attrition]]="Yes",1,0)</f>
        <v>0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3">
      <c r="A522">
        <v>48</v>
      </c>
      <c r="B522" t="s">
        <v>43</v>
      </c>
      <c r="C522">
        <f>IF(HR_analytics[[#This Row],[Attrition]]="Yes",1,0)</f>
        <v>0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3">
      <c r="A523">
        <v>27</v>
      </c>
      <c r="B523" t="s">
        <v>43</v>
      </c>
      <c r="C523">
        <f>IF(HR_analytics[[#This Row],[Attrition]]="Yes",1,0)</f>
        <v>0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3">
      <c r="A524">
        <v>37</v>
      </c>
      <c r="B524" t="s">
        <v>43</v>
      </c>
      <c r="C524">
        <f>IF(HR_analytics[[#This Row],[Attrition]]="Yes",1,0)</f>
        <v>0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t="s">
        <v>43</v>
      </c>
      <c r="C525">
        <f>IF(HR_analytics[[#This Row],[Attrition]]="Yes",1,0)</f>
        <v>0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3">
      <c r="A526">
        <v>34</v>
      </c>
      <c r="B526" t="s">
        <v>43</v>
      </c>
      <c r="C526">
        <f>IF(HR_analytics[[#This Row],[Attrition]]="Yes",1,0)</f>
        <v>0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3">
      <c r="A527">
        <v>24</v>
      </c>
      <c r="B527" t="s">
        <v>35</v>
      </c>
      <c r="C527">
        <f>IF(HR_analytics[[#This Row],[Attrition]]="Yes",1,0)</f>
        <v>1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3">
      <c r="A528">
        <v>39</v>
      </c>
      <c r="B528" t="s">
        <v>43</v>
      </c>
      <c r="C528">
        <f>IF(HR_analytics[[#This Row],[Attrition]]="Yes",1,0)</f>
        <v>0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3">
      <c r="A529">
        <v>32</v>
      </c>
      <c r="B529" t="s">
        <v>43</v>
      </c>
      <c r="C529">
        <f>IF(HR_analytics[[#This Row],[Attrition]]="Yes",1,0)</f>
        <v>0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3">
      <c r="A530">
        <v>50</v>
      </c>
      <c r="B530" t="s">
        <v>35</v>
      </c>
      <c r="C530">
        <f>IF(HR_analytics[[#This Row],[Attrition]]="Yes",1,0)</f>
        <v>1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3">
      <c r="A531">
        <v>38</v>
      </c>
      <c r="B531" t="s">
        <v>43</v>
      </c>
      <c r="C531">
        <f>IF(HR_analytics[[#This Row],[Attrition]]="Yes",1,0)</f>
        <v>0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3">
      <c r="A532">
        <v>27</v>
      </c>
      <c r="B532" t="s">
        <v>43</v>
      </c>
      <c r="C532">
        <f>IF(HR_analytics[[#This Row],[Attrition]]="Yes",1,0)</f>
        <v>0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3">
      <c r="A533">
        <v>32</v>
      </c>
      <c r="B533" t="s">
        <v>43</v>
      </c>
      <c r="C533">
        <f>IF(HR_analytics[[#This Row],[Attrition]]="Yes",1,0)</f>
        <v>0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3">
      <c r="A534">
        <v>47</v>
      </c>
      <c r="B534" t="s">
        <v>43</v>
      </c>
      <c r="C534">
        <f>IF(HR_analytics[[#This Row],[Attrition]]="Yes",1,0)</f>
        <v>0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3">
      <c r="A535">
        <v>40</v>
      </c>
      <c r="B535" t="s">
        <v>43</v>
      </c>
      <c r="C535">
        <f>IF(HR_analytics[[#This Row],[Attrition]]="Yes",1,0)</f>
        <v>0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3">
      <c r="A536">
        <v>53</v>
      </c>
      <c r="B536" t="s">
        <v>43</v>
      </c>
      <c r="C536">
        <f>IF(HR_analytics[[#This Row],[Attrition]]="Yes",1,0)</f>
        <v>0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3">
      <c r="A537">
        <v>41</v>
      </c>
      <c r="B537" t="s">
        <v>43</v>
      </c>
      <c r="C537">
        <f>IF(HR_analytics[[#This Row],[Attrition]]="Yes",1,0)</f>
        <v>0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3">
      <c r="A538">
        <v>60</v>
      </c>
      <c r="B538" t="s">
        <v>43</v>
      </c>
      <c r="C538">
        <f>IF(HR_analytics[[#This Row],[Attrition]]="Yes",1,0)</f>
        <v>0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3">
      <c r="A539">
        <v>27</v>
      </c>
      <c r="B539" t="s">
        <v>43</v>
      </c>
      <c r="C539">
        <f>IF(HR_analytics[[#This Row],[Attrition]]="Yes",1,0)</f>
        <v>0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3">
      <c r="A540">
        <v>41</v>
      </c>
      <c r="B540" t="s">
        <v>43</v>
      </c>
      <c r="C540">
        <f>IF(HR_analytics[[#This Row],[Attrition]]="Yes",1,0)</f>
        <v>0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3">
      <c r="A541">
        <v>50</v>
      </c>
      <c r="B541" t="s">
        <v>43</v>
      </c>
      <c r="C541">
        <f>IF(HR_analytics[[#This Row],[Attrition]]="Yes",1,0)</f>
        <v>0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3">
      <c r="A542">
        <v>28</v>
      </c>
      <c r="B542" t="s">
        <v>35</v>
      </c>
      <c r="C542">
        <f>IF(HR_analytics[[#This Row],[Attrition]]="Yes",1,0)</f>
        <v>1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3">
      <c r="A543">
        <v>36</v>
      </c>
      <c r="B543" t="s">
        <v>43</v>
      </c>
      <c r="C543">
        <f>IF(HR_analytics[[#This Row],[Attrition]]="Yes",1,0)</f>
        <v>0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3">
      <c r="A544">
        <v>38</v>
      </c>
      <c r="B544" t="s">
        <v>43</v>
      </c>
      <c r="C544">
        <f>IF(HR_analytics[[#This Row],[Attrition]]="Yes",1,0)</f>
        <v>0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t="s">
        <v>43</v>
      </c>
      <c r="C545">
        <f>IF(HR_analytics[[#This Row],[Attrition]]="Yes",1,0)</f>
        <v>0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3">
      <c r="A546">
        <v>47</v>
      </c>
      <c r="B546" t="s">
        <v>43</v>
      </c>
      <c r="C546">
        <f>IF(HR_analytics[[#This Row],[Attrition]]="Yes",1,0)</f>
        <v>0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3">
      <c r="A547">
        <v>30</v>
      </c>
      <c r="B547" t="s">
        <v>43</v>
      </c>
      <c r="C547">
        <f>IF(HR_analytics[[#This Row],[Attrition]]="Yes",1,0)</f>
        <v>0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3">
      <c r="A548">
        <v>29</v>
      </c>
      <c r="B548" t="s">
        <v>43</v>
      </c>
      <c r="C548">
        <f>IF(HR_analytics[[#This Row],[Attrition]]="Yes",1,0)</f>
        <v>0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t="s">
        <v>35</v>
      </c>
      <c r="C549">
        <f>IF(HR_analytics[[#This Row],[Attrition]]="Yes",1,0)</f>
        <v>1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3">
      <c r="A550">
        <v>43</v>
      </c>
      <c r="B550" t="s">
        <v>43</v>
      </c>
      <c r="C550">
        <f>IF(HR_analytics[[#This Row],[Attrition]]="Yes",1,0)</f>
        <v>0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3">
      <c r="A551">
        <v>34</v>
      </c>
      <c r="B551" t="s">
        <v>43</v>
      </c>
      <c r="C551">
        <f>IF(HR_analytics[[#This Row],[Attrition]]="Yes",1,0)</f>
        <v>0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3">
      <c r="A552">
        <v>23</v>
      </c>
      <c r="B552" t="s">
        <v>43</v>
      </c>
      <c r="C552">
        <f>IF(HR_analytics[[#This Row],[Attrition]]="Yes",1,0)</f>
        <v>0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3">
      <c r="A553">
        <v>39</v>
      </c>
      <c r="B553" t="s">
        <v>43</v>
      </c>
      <c r="C553">
        <f>IF(HR_analytics[[#This Row],[Attrition]]="Yes",1,0)</f>
        <v>0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3">
      <c r="A554">
        <v>56</v>
      </c>
      <c r="B554" t="s">
        <v>43</v>
      </c>
      <c r="C554">
        <f>IF(HR_analytics[[#This Row],[Attrition]]="Yes",1,0)</f>
        <v>0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3">
      <c r="A555">
        <v>40</v>
      </c>
      <c r="B555" t="s">
        <v>43</v>
      </c>
      <c r="C555">
        <f>IF(HR_analytics[[#This Row],[Attrition]]="Yes",1,0)</f>
        <v>0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3">
      <c r="A556">
        <v>27</v>
      </c>
      <c r="B556" t="s">
        <v>43</v>
      </c>
      <c r="C556">
        <f>IF(HR_analytics[[#This Row],[Attrition]]="Yes",1,0)</f>
        <v>0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3">
      <c r="A557">
        <v>29</v>
      </c>
      <c r="B557" t="s">
        <v>43</v>
      </c>
      <c r="C557">
        <f>IF(HR_analytics[[#This Row],[Attrition]]="Yes",1,0)</f>
        <v>0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3">
      <c r="A558">
        <v>53</v>
      </c>
      <c r="B558" t="s">
        <v>43</v>
      </c>
      <c r="C558">
        <f>IF(HR_analytics[[#This Row],[Attrition]]="Yes",1,0)</f>
        <v>0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3">
      <c r="A559">
        <v>35</v>
      </c>
      <c r="B559" t="s">
        <v>43</v>
      </c>
      <c r="C559">
        <f>IF(HR_analytics[[#This Row],[Attrition]]="Yes",1,0)</f>
        <v>0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t="s">
        <v>43</v>
      </c>
      <c r="C560">
        <f>IF(HR_analytics[[#This Row],[Attrition]]="Yes",1,0)</f>
        <v>0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3">
      <c r="A561">
        <v>38</v>
      </c>
      <c r="B561" t="s">
        <v>43</v>
      </c>
      <c r="C561">
        <f>IF(HR_analytics[[#This Row],[Attrition]]="Yes",1,0)</f>
        <v>0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3">
      <c r="A562">
        <v>34</v>
      </c>
      <c r="B562" t="s">
        <v>43</v>
      </c>
      <c r="C562">
        <f>IF(HR_analytics[[#This Row],[Attrition]]="Yes",1,0)</f>
        <v>0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t="s">
        <v>43</v>
      </c>
      <c r="C563">
        <f>IF(HR_analytics[[#This Row],[Attrition]]="Yes",1,0)</f>
        <v>0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3">
      <c r="A564">
        <v>33</v>
      </c>
      <c r="B564" t="s">
        <v>35</v>
      </c>
      <c r="C564">
        <f>IF(HR_analytics[[#This Row],[Attrition]]="Yes",1,0)</f>
        <v>1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3">
      <c r="A565">
        <v>25</v>
      </c>
      <c r="B565" t="s">
        <v>43</v>
      </c>
      <c r="C565">
        <f>IF(HR_analytics[[#This Row],[Attrition]]="Yes",1,0)</f>
        <v>0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3">
      <c r="A566">
        <v>45</v>
      </c>
      <c r="B566" t="s">
        <v>43</v>
      </c>
      <c r="C566">
        <f>IF(HR_analytics[[#This Row],[Attrition]]="Yes",1,0)</f>
        <v>0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3">
      <c r="A567">
        <v>23</v>
      </c>
      <c r="B567" t="s">
        <v>43</v>
      </c>
      <c r="C567">
        <f>IF(HR_analytics[[#This Row],[Attrition]]="Yes",1,0)</f>
        <v>0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3">
      <c r="A568">
        <v>47</v>
      </c>
      <c r="B568" t="s">
        <v>35</v>
      </c>
      <c r="C568">
        <f>IF(HR_analytics[[#This Row],[Attrition]]="Yes",1,0)</f>
        <v>1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3">
      <c r="A569">
        <v>34</v>
      </c>
      <c r="B569" t="s">
        <v>43</v>
      </c>
      <c r="C569">
        <f>IF(HR_analytics[[#This Row],[Attrition]]="Yes",1,0)</f>
        <v>0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3">
      <c r="A570">
        <v>55</v>
      </c>
      <c r="B570" t="s">
        <v>35</v>
      </c>
      <c r="C570">
        <f>IF(HR_analytics[[#This Row],[Attrition]]="Yes",1,0)</f>
        <v>1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3">
      <c r="A571">
        <v>36</v>
      </c>
      <c r="B571" t="s">
        <v>43</v>
      </c>
      <c r="C571">
        <f>IF(HR_analytics[[#This Row],[Attrition]]="Yes",1,0)</f>
        <v>0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3">
      <c r="A572">
        <v>52</v>
      </c>
      <c r="B572" t="s">
        <v>43</v>
      </c>
      <c r="C572">
        <f>IF(HR_analytics[[#This Row],[Attrition]]="Yes",1,0)</f>
        <v>0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3">
      <c r="A573">
        <v>26</v>
      </c>
      <c r="B573" t="s">
        <v>43</v>
      </c>
      <c r="C573">
        <f>IF(HR_analytics[[#This Row],[Attrition]]="Yes",1,0)</f>
        <v>0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3">
      <c r="A574">
        <v>29</v>
      </c>
      <c r="B574" t="s">
        <v>43</v>
      </c>
      <c r="C574">
        <f>IF(HR_analytics[[#This Row],[Attrition]]="Yes",1,0)</f>
        <v>0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3">
      <c r="A575">
        <v>26</v>
      </c>
      <c r="B575" t="s">
        <v>35</v>
      </c>
      <c r="C575">
        <f>IF(HR_analytics[[#This Row],[Attrition]]="Yes",1,0)</f>
        <v>1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3">
      <c r="A576">
        <v>34</v>
      </c>
      <c r="B576" t="s">
        <v>43</v>
      </c>
      <c r="C576">
        <f>IF(HR_analytics[[#This Row],[Attrition]]="Yes",1,0)</f>
        <v>0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3">
      <c r="A577">
        <v>54</v>
      </c>
      <c r="B577" t="s">
        <v>43</v>
      </c>
      <c r="C577">
        <f>IF(HR_analytics[[#This Row],[Attrition]]="Yes",1,0)</f>
        <v>0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3">
      <c r="A578">
        <v>27</v>
      </c>
      <c r="B578" t="s">
        <v>43</v>
      </c>
      <c r="C578">
        <f>IF(HR_analytics[[#This Row],[Attrition]]="Yes",1,0)</f>
        <v>0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3">
      <c r="A579">
        <v>37</v>
      </c>
      <c r="B579" t="s">
        <v>43</v>
      </c>
      <c r="C579">
        <f>IF(HR_analytics[[#This Row],[Attrition]]="Yes",1,0)</f>
        <v>0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3">
      <c r="A580">
        <v>38</v>
      </c>
      <c r="B580" t="s">
        <v>43</v>
      </c>
      <c r="C580">
        <f>IF(HR_analytics[[#This Row],[Attrition]]="Yes",1,0)</f>
        <v>0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3">
      <c r="A581">
        <v>34</v>
      </c>
      <c r="B581" t="s">
        <v>43</v>
      </c>
      <c r="C581">
        <f>IF(HR_analytics[[#This Row],[Attrition]]="Yes",1,0)</f>
        <v>0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3">
      <c r="A582">
        <v>35</v>
      </c>
      <c r="B582" t="s">
        <v>43</v>
      </c>
      <c r="C582">
        <f>IF(HR_analytics[[#This Row],[Attrition]]="Yes",1,0)</f>
        <v>0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3">
      <c r="A583">
        <v>30</v>
      </c>
      <c r="B583" t="s">
        <v>43</v>
      </c>
      <c r="C583">
        <f>IF(HR_analytics[[#This Row],[Attrition]]="Yes",1,0)</f>
        <v>0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3">
      <c r="A584">
        <v>40</v>
      </c>
      <c r="B584" t="s">
        <v>43</v>
      </c>
      <c r="C584">
        <f>IF(HR_analytics[[#This Row],[Attrition]]="Yes",1,0)</f>
        <v>0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3">
      <c r="A585">
        <v>34</v>
      </c>
      <c r="B585" t="s">
        <v>43</v>
      </c>
      <c r="C585">
        <f>IF(HR_analytics[[#This Row],[Attrition]]="Yes",1,0)</f>
        <v>0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3">
      <c r="A586">
        <v>42</v>
      </c>
      <c r="B586" t="s">
        <v>43</v>
      </c>
      <c r="C586">
        <f>IF(HR_analytics[[#This Row],[Attrition]]="Yes",1,0)</f>
        <v>0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3">
      <c r="A587">
        <v>23</v>
      </c>
      <c r="B587" t="s">
        <v>35</v>
      </c>
      <c r="C587">
        <f>IF(HR_analytics[[#This Row],[Attrition]]="Yes",1,0)</f>
        <v>1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>
        <v>24</v>
      </c>
      <c r="B588" t="s">
        <v>43</v>
      </c>
      <c r="C588">
        <f>IF(HR_analytics[[#This Row],[Attrition]]="Yes",1,0)</f>
        <v>0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t="s">
        <v>43</v>
      </c>
      <c r="C589">
        <f>IF(HR_analytics[[#This Row],[Attrition]]="Yes",1,0)</f>
        <v>0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3">
      <c r="A590">
        <v>50</v>
      </c>
      <c r="B590" t="s">
        <v>43</v>
      </c>
      <c r="C590">
        <f>IF(HR_analytics[[#This Row],[Attrition]]="Yes",1,0)</f>
        <v>0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3">
      <c r="A591">
        <v>29</v>
      </c>
      <c r="B591" t="s">
        <v>35</v>
      </c>
      <c r="C591">
        <f>IF(HR_analytics[[#This Row],[Attrition]]="Yes",1,0)</f>
        <v>1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3">
      <c r="A592">
        <v>33</v>
      </c>
      <c r="B592" t="s">
        <v>43</v>
      </c>
      <c r="C592">
        <f>IF(HR_analytics[[#This Row],[Attrition]]="Yes",1,0)</f>
        <v>0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3">
      <c r="A593">
        <v>33</v>
      </c>
      <c r="B593" t="s">
        <v>35</v>
      </c>
      <c r="C593">
        <f>IF(HR_analytics[[#This Row],[Attrition]]="Yes",1,0)</f>
        <v>1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3">
      <c r="A594">
        <v>47</v>
      </c>
      <c r="B594" t="s">
        <v>43</v>
      </c>
      <c r="C594">
        <f>IF(HR_analytics[[#This Row],[Attrition]]="Yes",1,0)</f>
        <v>0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3">
      <c r="A595">
        <v>36</v>
      </c>
      <c r="B595" t="s">
        <v>43</v>
      </c>
      <c r="C595">
        <f>IF(HR_analytics[[#This Row],[Attrition]]="Yes",1,0)</f>
        <v>0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3">
      <c r="A596">
        <v>29</v>
      </c>
      <c r="B596" t="s">
        <v>43</v>
      </c>
      <c r="C596">
        <f>IF(HR_analytics[[#This Row],[Attrition]]="Yes",1,0)</f>
        <v>0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3">
      <c r="A597">
        <v>58</v>
      </c>
      <c r="B597" t="s">
        <v>35</v>
      </c>
      <c r="C597">
        <f>IF(HR_analytics[[#This Row],[Attrition]]="Yes",1,0)</f>
        <v>1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3">
      <c r="A598">
        <v>35</v>
      </c>
      <c r="B598" t="s">
        <v>43</v>
      </c>
      <c r="C598">
        <f>IF(HR_analytics[[#This Row],[Attrition]]="Yes",1,0)</f>
        <v>0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3">
      <c r="A599">
        <v>42</v>
      </c>
      <c r="B599" t="s">
        <v>43</v>
      </c>
      <c r="C599">
        <f>IF(HR_analytics[[#This Row],[Attrition]]="Yes",1,0)</f>
        <v>0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3">
      <c r="A600">
        <v>28</v>
      </c>
      <c r="B600" t="s">
        <v>35</v>
      </c>
      <c r="C600">
        <f>IF(HR_analytics[[#This Row],[Attrition]]="Yes",1,0)</f>
        <v>1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3">
      <c r="A601">
        <v>36</v>
      </c>
      <c r="B601" t="s">
        <v>43</v>
      </c>
      <c r="C601">
        <f>IF(HR_analytics[[#This Row],[Attrition]]="Yes",1,0)</f>
        <v>0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3">
      <c r="A602">
        <v>32</v>
      </c>
      <c r="B602" t="s">
        <v>43</v>
      </c>
      <c r="C602">
        <f>IF(HR_analytics[[#This Row],[Attrition]]="Yes",1,0)</f>
        <v>0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3">
      <c r="A603">
        <v>40</v>
      </c>
      <c r="B603" t="s">
        <v>43</v>
      </c>
      <c r="C603">
        <f>IF(HR_analytics[[#This Row],[Attrition]]="Yes",1,0)</f>
        <v>0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t="s">
        <v>43</v>
      </c>
      <c r="C604">
        <f>IF(HR_analytics[[#This Row],[Attrition]]="Yes",1,0)</f>
        <v>0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t="s">
        <v>43</v>
      </c>
      <c r="C605">
        <f>IF(HR_analytics[[#This Row],[Attrition]]="Yes",1,0)</f>
        <v>0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t="s">
        <v>43</v>
      </c>
      <c r="C606">
        <f>IF(HR_analytics[[#This Row],[Attrition]]="Yes",1,0)</f>
        <v>0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3">
      <c r="A607">
        <v>38</v>
      </c>
      <c r="B607" t="s">
        <v>43</v>
      </c>
      <c r="C607">
        <f>IF(HR_analytics[[#This Row],[Attrition]]="Yes",1,0)</f>
        <v>0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3">
      <c r="A608">
        <v>34</v>
      </c>
      <c r="B608" t="s">
        <v>43</v>
      </c>
      <c r="C608">
        <f>IF(HR_analytics[[#This Row],[Attrition]]="Yes",1,0)</f>
        <v>0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3">
      <c r="A609">
        <v>49</v>
      </c>
      <c r="B609" t="s">
        <v>35</v>
      </c>
      <c r="C609">
        <f>IF(HR_analytics[[#This Row],[Attrition]]="Yes",1,0)</f>
        <v>1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3">
      <c r="A610">
        <v>55</v>
      </c>
      <c r="B610" t="s">
        <v>35</v>
      </c>
      <c r="C610">
        <f>IF(HR_analytics[[#This Row],[Attrition]]="Yes",1,0)</f>
        <v>1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3">
      <c r="A611">
        <v>43</v>
      </c>
      <c r="B611" t="s">
        <v>43</v>
      </c>
      <c r="C611">
        <f>IF(HR_analytics[[#This Row],[Attrition]]="Yes",1,0)</f>
        <v>0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3">
      <c r="A612">
        <v>27</v>
      </c>
      <c r="B612" t="s">
        <v>43</v>
      </c>
      <c r="C612">
        <f>IF(HR_analytics[[#This Row],[Attrition]]="Yes",1,0)</f>
        <v>0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3">
      <c r="A613">
        <v>35</v>
      </c>
      <c r="B613" t="s">
        <v>43</v>
      </c>
      <c r="C613">
        <f>IF(HR_analytics[[#This Row],[Attrition]]="Yes",1,0)</f>
        <v>0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3">
      <c r="A614">
        <v>28</v>
      </c>
      <c r="B614" t="s">
        <v>43</v>
      </c>
      <c r="C614">
        <f>IF(HR_analytics[[#This Row],[Attrition]]="Yes",1,0)</f>
        <v>0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3">
      <c r="A615">
        <v>34</v>
      </c>
      <c r="B615" t="s">
        <v>43</v>
      </c>
      <c r="C615">
        <f>IF(HR_analytics[[#This Row],[Attrition]]="Yes",1,0)</f>
        <v>0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3">
      <c r="A616">
        <v>26</v>
      </c>
      <c r="B616" t="s">
        <v>35</v>
      </c>
      <c r="C616">
        <f>IF(HR_analytics[[#This Row],[Attrition]]="Yes",1,0)</f>
        <v>1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3">
      <c r="A617">
        <v>27</v>
      </c>
      <c r="B617" t="s">
        <v>43</v>
      </c>
      <c r="C617">
        <f>IF(HR_analytics[[#This Row],[Attrition]]="Yes",1,0)</f>
        <v>0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t="s">
        <v>43</v>
      </c>
      <c r="C618">
        <f>IF(HR_analytics[[#This Row],[Attrition]]="Yes",1,0)</f>
        <v>0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3">
      <c r="A619">
        <v>44</v>
      </c>
      <c r="B619" t="s">
        <v>43</v>
      </c>
      <c r="C619">
        <f>IF(HR_analytics[[#This Row],[Attrition]]="Yes",1,0)</f>
        <v>0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3">
      <c r="A620">
        <v>25</v>
      </c>
      <c r="B620" t="s">
        <v>43</v>
      </c>
      <c r="C620">
        <f>IF(HR_analytics[[#This Row],[Attrition]]="Yes",1,0)</f>
        <v>0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3">
      <c r="A621">
        <v>33</v>
      </c>
      <c r="B621" t="s">
        <v>43</v>
      </c>
      <c r="C621">
        <f>IF(HR_analytics[[#This Row],[Attrition]]="Yes",1,0)</f>
        <v>0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3">
      <c r="A622">
        <v>35</v>
      </c>
      <c r="B622" t="s">
        <v>43</v>
      </c>
      <c r="C622">
        <f>IF(HR_analytics[[#This Row],[Attrition]]="Yes",1,0)</f>
        <v>0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3">
      <c r="A623">
        <v>36</v>
      </c>
      <c r="B623" t="s">
        <v>43</v>
      </c>
      <c r="C623">
        <f>IF(HR_analytics[[#This Row],[Attrition]]="Yes",1,0)</f>
        <v>0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3">
      <c r="A624">
        <v>32</v>
      </c>
      <c r="B624" t="s">
        <v>43</v>
      </c>
      <c r="C624">
        <f>IF(HR_analytics[[#This Row],[Attrition]]="Yes",1,0)</f>
        <v>0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3">
      <c r="A625">
        <v>30</v>
      </c>
      <c r="B625" t="s">
        <v>43</v>
      </c>
      <c r="C625">
        <f>IF(HR_analytics[[#This Row],[Attrition]]="Yes",1,0)</f>
        <v>0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3">
      <c r="A626">
        <v>53</v>
      </c>
      <c r="B626" t="s">
        <v>43</v>
      </c>
      <c r="C626">
        <f>IF(HR_analytics[[#This Row],[Attrition]]="Yes",1,0)</f>
        <v>0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3">
      <c r="A627">
        <v>45</v>
      </c>
      <c r="B627" t="s">
        <v>43</v>
      </c>
      <c r="C627">
        <f>IF(HR_analytics[[#This Row],[Attrition]]="Yes",1,0)</f>
        <v>0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3">
      <c r="A628">
        <v>32</v>
      </c>
      <c r="B628" t="s">
        <v>43</v>
      </c>
      <c r="C628">
        <f>IF(HR_analytics[[#This Row],[Attrition]]="Yes",1,0)</f>
        <v>0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3">
      <c r="A629">
        <v>52</v>
      </c>
      <c r="B629" t="s">
        <v>43</v>
      </c>
      <c r="C629">
        <f>IF(HR_analytics[[#This Row],[Attrition]]="Yes",1,0)</f>
        <v>0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3">
      <c r="A630">
        <v>37</v>
      </c>
      <c r="B630" t="s">
        <v>43</v>
      </c>
      <c r="C630">
        <f>IF(HR_analytics[[#This Row],[Attrition]]="Yes",1,0)</f>
        <v>0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t="s">
        <v>43</v>
      </c>
      <c r="C631">
        <f>IF(HR_analytics[[#This Row],[Attrition]]="Yes",1,0)</f>
        <v>0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3">
      <c r="A632">
        <v>22</v>
      </c>
      <c r="B632" t="s">
        <v>43</v>
      </c>
      <c r="C632">
        <f>IF(HR_analytics[[#This Row],[Attrition]]="Yes",1,0)</f>
        <v>0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3">
      <c r="A633">
        <v>44</v>
      </c>
      <c r="B633" t="s">
        <v>43</v>
      </c>
      <c r="C633">
        <f>IF(HR_analytics[[#This Row],[Attrition]]="Yes",1,0)</f>
        <v>0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3">
      <c r="A634">
        <v>42</v>
      </c>
      <c r="B634" t="s">
        <v>43</v>
      </c>
      <c r="C634">
        <f>IF(HR_analytics[[#This Row],[Attrition]]="Yes",1,0)</f>
        <v>0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3">
      <c r="A635">
        <v>36</v>
      </c>
      <c r="B635" t="s">
        <v>43</v>
      </c>
      <c r="C635">
        <f>IF(HR_analytics[[#This Row],[Attrition]]="Yes",1,0)</f>
        <v>0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3">
      <c r="A636">
        <v>25</v>
      </c>
      <c r="B636" t="s">
        <v>43</v>
      </c>
      <c r="C636">
        <f>IF(HR_analytics[[#This Row],[Attrition]]="Yes",1,0)</f>
        <v>0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3">
      <c r="A637">
        <v>35</v>
      </c>
      <c r="B637" t="s">
        <v>43</v>
      </c>
      <c r="C637">
        <f>IF(HR_analytics[[#This Row],[Attrition]]="Yes",1,0)</f>
        <v>0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3">
      <c r="A638">
        <v>35</v>
      </c>
      <c r="B638" t="s">
        <v>35</v>
      </c>
      <c r="C638">
        <f>IF(HR_analytics[[#This Row],[Attrition]]="Yes",1,0)</f>
        <v>1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3">
      <c r="A639">
        <v>32</v>
      </c>
      <c r="B639" t="s">
        <v>43</v>
      </c>
      <c r="C639">
        <f>IF(HR_analytics[[#This Row],[Attrition]]="Yes",1,0)</f>
        <v>0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3">
      <c r="A640">
        <v>25</v>
      </c>
      <c r="B640" t="s">
        <v>43</v>
      </c>
      <c r="C640">
        <f>IF(HR_analytics[[#This Row],[Attrition]]="Yes",1,0)</f>
        <v>0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3">
      <c r="A641">
        <v>49</v>
      </c>
      <c r="B641" t="s">
        <v>43</v>
      </c>
      <c r="C641">
        <f>IF(HR_analytics[[#This Row],[Attrition]]="Yes",1,0)</f>
        <v>0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3">
      <c r="A642">
        <v>24</v>
      </c>
      <c r="B642" t="s">
        <v>43</v>
      </c>
      <c r="C642">
        <f>IF(HR_analytics[[#This Row],[Attrition]]="Yes",1,0)</f>
        <v>0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3">
      <c r="A643">
        <v>32</v>
      </c>
      <c r="B643" t="s">
        <v>43</v>
      </c>
      <c r="C643">
        <f>IF(HR_analytics[[#This Row],[Attrition]]="Yes",1,0)</f>
        <v>0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3">
      <c r="A644">
        <v>38</v>
      </c>
      <c r="B644" t="s">
        <v>43</v>
      </c>
      <c r="C644">
        <f>IF(HR_analytics[[#This Row],[Attrition]]="Yes",1,0)</f>
        <v>0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3">
      <c r="A645">
        <v>42</v>
      </c>
      <c r="B645" t="s">
        <v>43</v>
      </c>
      <c r="C645">
        <f>IF(HR_analytics[[#This Row],[Attrition]]="Yes",1,0)</f>
        <v>0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3">
      <c r="A646">
        <v>31</v>
      </c>
      <c r="B646" t="s">
        <v>43</v>
      </c>
      <c r="C646">
        <f>IF(HR_analytics[[#This Row],[Attrition]]="Yes",1,0)</f>
        <v>0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3">
      <c r="A647">
        <v>29</v>
      </c>
      <c r="B647" t="s">
        <v>35</v>
      </c>
      <c r="C647">
        <f>IF(HR_analytics[[#This Row],[Attrition]]="Yes",1,0)</f>
        <v>1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3">
      <c r="A648">
        <v>53</v>
      </c>
      <c r="B648" t="s">
        <v>43</v>
      </c>
      <c r="C648">
        <f>IF(HR_analytics[[#This Row],[Attrition]]="Yes",1,0)</f>
        <v>0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3">
      <c r="A649">
        <v>35</v>
      </c>
      <c r="B649" t="s">
        <v>43</v>
      </c>
      <c r="C649">
        <f>IF(HR_analytics[[#This Row],[Attrition]]="Yes",1,0)</f>
        <v>0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3">
      <c r="A650">
        <v>37</v>
      </c>
      <c r="B650" t="s">
        <v>43</v>
      </c>
      <c r="C650">
        <f>IF(HR_analytics[[#This Row],[Attrition]]="Yes",1,0)</f>
        <v>0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3">
      <c r="A651">
        <v>53</v>
      </c>
      <c r="B651" t="s">
        <v>43</v>
      </c>
      <c r="C651">
        <f>IF(HR_analytics[[#This Row],[Attrition]]="Yes",1,0)</f>
        <v>0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3">
      <c r="A652">
        <v>43</v>
      </c>
      <c r="B652" t="s">
        <v>43</v>
      </c>
      <c r="C652">
        <f>IF(HR_analytics[[#This Row],[Attrition]]="Yes",1,0)</f>
        <v>0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3">
      <c r="A653">
        <v>47</v>
      </c>
      <c r="B653" t="s">
        <v>43</v>
      </c>
      <c r="C653">
        <f>IF(HR_analytics[[#This Row],[Attrition]]="Yes",1,0)</f>
        <v>0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3">
      <c r="A654">
        <v>37</v>
      </c>
      <c r="B654" t="s">
        <v>43</v>
      </c>
      <c r="C654">
        <f>IF(HR_analytics[[#This Row],[Attrition]]="Yes",1,0)</f>
        <v>0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3">
      <c r="A655">
        <v>50</v>
      </c>
      <c r="B655" t="s">
        <v>43</v>
      </c>
      <c r="C655">
        <f>IF(HR_analytics[[#This Row],[Attrition]]="Yes",1,0)</f>
        <v>0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3">
      <c r="A656">
        <v>39</v>
      </c>
      <c r="B656" t="s">
        <v>43</v>
      </c>
      <c r="C656">
        <f>IF(HR_analytics[[#This Row],[Attrition]]="Yes",1,0)</f>
        <v>0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3">
      <c r="A657">
        <v>33</v>
      </c>
      <c r="B657" t="s">
        <v>43</v>
      </c>
      <c r="C657">
        <f>IF(HR_analytics[[#This Row],[Attrition]]="Yes",1,0)</f>
        <v>0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3">
      <c r="A658">
        <v>32</v>
      </c>
      <c r="B658" t="s">
        <v>35</v>
      </c>
      <c r="C658">
        <f>IF(HR_analytics[[#This Row],[Attrition]]="Yes",1,0)</f>
        <v>1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3">
      <c r="A659">
        <v>29</v>
      </c>
      <c r="B659" t="s">
        <v>43</v>
      </c>
      <c r="C659">
        <f>IF(HR_analytics[[#This Row],[Attrition]]="Yes",1,0)</f>
        <v>0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3">
      <c r="A660">
        <v>44</v>
      </c>
      <c r="B660" t="s">
        <v>43</v>
      </c>
      <c r="C660">
        <f>IF(HR_analytics[[#This Row],[Attrition]]="Yes",1,0)</f>
        <v>0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3">
      <c r="A661">
        <v>28</v>
      </c>
      <c r="B661" t="s">
        <v>43</v>
      </c>
      <c r="C661">
        <f>IF(HR_analytics[[#This Row],[Attrition]]="Yes",1,0)</f>
        <v>0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3">
      <c r="A662">
        <v>58</v>
      </c>
      <c r="B662" t="s">
        <v>35</v>
      </c>
      <c r="C662">
        <f>IF(HR_analytics[[#This Row],[Attrition]]="Yes",1,0)</f>
        <v>1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3">
      <c r="A663">
        <v>43</v>
      </c>
      <c r="B663" t="s">
        <v>43</v>
      </c>
      <c r="C663">
        <f>IF(HR_analytics[[#This Row],[Attrition]]="Yes",1,0)</f>
        <v>0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t="s">
        <v>35</v>
      </c>
      <c r="C664">
        <f>IF(HR_analytics[[#This Row],[Attrition]]="Yes",1,0)</f>
        <v>1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3">
      <c r="A665">
        <v>21</v>
      </c>
      <c r="B665" t="s">
        <v>35</v>
      </c>
      <c r="C665">
        <f>IF(HR_analytics[[#This Row],[Attrition]]="Yes",1,0)</f>
        <v>1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3">
      <c r="A666">
        <v>36</v>
      </c>
      <c r="B666" t="s">
        <v>43</v>
      </c>
      <c r="C666">
        <f>IF(HR_analytics[[#This Row],[Attrition]]="Yes",1,0)</f>
        <v>0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3">
      <c r="A667">
        <v>47</v>
      </c>
      <c r="B667" t="s">
        <v>43</v>
      </c>
      <c r="C667">
        <f>IF(HR_analytics[[#This Row],[Attrition]]="Yes",1,0)</f>
        <v>0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3">
      <c r="A668">
        <v>22</v>
      </c>
      <c r="B668" t="s">
        <v>35</v>
      </c>
      <c r="C668">
        <f>IF(HR_analytics[[#This Row],[Attrition]]="Yes",1,0)</f>
        <v>1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3">
      <c r="A669">
        <v>41</v>
      </c>
      <c r="B669" t="s">
        <v>35</v>
      </c>
      <c r="C669">
        <f>IF(HR_analytics[[#This Row],[Attrition]]="Yes",1,0)</f>
        <v>1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3">
      <c r="A670">
        <v>28</v>
      </c>
      <c r="B670" t="s">
        <v>43</v>
      </c>
      <c r="C670">
        <f>IF(HR_analytics[[#This Row],[Attrition]]="Yes",1,0)</f>
        <v>0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3">
      <c r="A671">
        <v>39</v>
      </c>
      <c r="B671" t="s">
        <v>35</v>
      </c>
      <c r="C671">
        <f>IF(HR_analytics[[#This Row],[Attrition]]="Yes",1,0)</f>
        <v>1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3">
      <c r="A672">
        <v>27</v>
      </c>
      <c r="B672" t="s">
        <v>43</v>
      </c>
      <c r="C672">
        <f>IF(HR_analytics[[#This Row],[Attrition]]="Yes",1,0)</f>
        <v>0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3">
      <c r="A673">
        <v>34</v>
      </c>
      <c r="B673" t="s">
        <v>43</v>
      </c>
      <c r="C673">
        <f>IF(HR_analytics[[#This Row],[Attrition]]="Yes",1,0)</f>
        <v>0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3">
      <c r="A674">
        <v>42</v>
      </c>
      <c r="B674" t="s">
        <v>43</v>
      </c>
      <c r="C674">
        <f>IF(HR_analytics[[#This Row],[Attrition]]="Yes",1,0)</f>
        <v>0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3">
      <c r="A675">
        <v>33</v>
      </c>
      <c r="B675" t="s">
        <v>43</v>
      </c>
      <c r="C675">
        <f>IF(HR_analytics[[#This Row],[Attrition]]="Yes",1,0)</f>
        <v>0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3">
      <c r="A676">
        <v>58</v>
      </c>
      <c r="B676" t="s">
        <v>43</v>
      </c>
      <c r="C676">
        <f>IF(HR_analytics[[#This Row],[Attrition]]="Yes",1,0)</f>
        <v>0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3">
      <c r="A677">
        <v>31</v>
      </c>
      <c r="B677" t="s">
        <v>43</v>
      </c>
      <c r="C677">
        <f>IF(HR_analytics[[#This Row],[Attrition]]="Yes",1,0)</f>
        <v>0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3">
      <c r="A678">
        <v>35</v>
      </c>
      <c r="B678" t="s">
        <v>43</v>
      </c>
      <c r="C678">
        <f>IF(HR_analytics[[#This Row],[Attrition]]="Yes",1,0)</f>
        <v>0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3">
      <c r="A679">
        <v>49</v>
      </c>
      <c r="B679" t="s">
        <v>43</v>
      </c>
      <c r="C679">
        <f>IF(HR_analytics[[#This Row],[Attrition]]="Yes",1,0)</f>
        <v>0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3">
      <c r="A680">
        <v>48</v>
      </c>
      <c r="B680" t="s">
        <v>43</v>
      </c>
      <c r="C680">
        <f>IF(HR_analytics[[#This Row],[Attrition]]="Yes",1,0)</f>
        <v>0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t="s">
        <v>43</v>
      </c>
      <c r="C681">
        <f>IF(HR_analytics[[#This Row],[Attrition]]="Yes",1,0)</f>
        <v>0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3">
      <c r="A682">
        <v>36</v>
      </c>
      <c r="B682" t="s">
        <v>43</v>
      </c>
      <c r="C682">
        <f>IF(HR_analytics[[#This Row],[Attrition]]="Yes",1,0)</f>
        <v>0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3">
      <c r="A683">
        <v>38</v>
      </c>
      <c r="B683" t="s">
        <v>43</v>
      </c>
      <c r="C683">
        <f>IF(HR_analytics[[#This Row],[Attrition]]="Yes",1,0)</f>
        <v>0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3">
      <c r="A684">
        <v>32</v>
      </c>
      <c r="B684" t="s">
        <v>43</v>
      </c>
      <c r="C684">
        <f>IF(HR_analytics[[#This Row],[Attrition]]="Yes",1,0)</f>
        <v>0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3">
      <c r="A685">
        <v>25</v>
      </c>
      <c r="B685" t="s">
        <v>35</v>
      </c>
      <c r="C685">
        <f>IF(HR_analytics[[#This Row],[Attrition]]="Yes",1,0)</f>
        <v>1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3">
      <c r="A686">
        <v>40</v>
      </c>
      <c r="B686" t="s">
        <v>43</v>
      </c>
      <c r="C686">
        <f>IF(HR_analytics[[#This Row],[Attrition]]="Yes",1,0)</f>
        <v>0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t="s">
        <v>43</v>
      </c>
      <c r="C687">
        <f>IF(HR_analytics[[#This Row],[Attrition]]="Yes",1,0)</f>
        <v>0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3">
      <c r="A688">
        <v>41</v>
      </c>
      <c r="B688" t="s">
        <v>43</v>
      </c>
      <c r="C688">
        <f>IF(HR_analytics[[#This Row],[Attrition]]="Yes",1,0)</f>
        <v>0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3">
      <c r="A689">
        <v>36</v>
      </c>
      <c r="B689" t="s">
        <v>43</v>
      </c>
      <c r="C689">
        <f>IF(HR_analytics[[#This Row],[Attrition]]="Yes",1,0)</f>
        <v>0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3">
      <c r="A690">
        <v>19</v>
      </c>
      <c r="B690" t="s">
        <v>35</v>
      </c>
      <c r="C690">
        <f>IF(HR_analytics[[#This Row],[Attrition]]="Yes",1,0)</f>
        <v>1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3">
      <c r="A691">
        <v>20</v>
      </c>
      <c r="B691" t="s">
        <v>35</v>
      </c>
      <c r="C691">
        <f>IF(HR_analytics[[#This Row],[Attrition]]="Yes",1,0)</f>
        <v>1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3">
      <c r="A692">
        <v>31</v>
      </c>
      <c r="B692" t="s">
        <v>43</v>
      </c>
      <c r="C692">
        <f>IF(HR_analytics[[#This Row],[Attrition]]="Yes",1,0)</f>
        <v>0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3">
      <c r="A693">
        <v>40</v>
      </c>
      <c r="B693" t="s">
        <v>43</v>
      </c>
      <c r="C693">
        <f>IF(HR_analytics[[#This Row],[Attrition]]="Yes",1,0)</f>
        <v>0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3">
      <c r="A694">
        <v>32</v>
      </c>
      <c r="B694" t="s">
        <v>43</v>
      </c>
      <c r="C694">
        <f>IF(HR_analytics[[#This Row],[Attrition]]="Yes",1,0)</f>
        <v>0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3">
      <c r="A695">
        <v>36</v>
      </c>
      <c r="B695" t="s">
        <v>35</v>
      </c>
      <c r="C695">
        <f>IF(HR_analytics[[#This Row],[Attrition]]="Yes",1,0)</f>
        <v>1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3">
      <c r="A696">
        <v>33</v>
      </c>
      <c r="B696" t="s">
        <v>43</v>
      </c>
      <c r="C696">
        <f>IF(HR_analytics[[#This Row],[Attrition]]="Yes",1,0)</f>
        <v>0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3">
      <c r="A697">
        <v>37</v>
      </c>
      <c r="B697" t="s">
        <v>35</v>
      </c>
      <c r="C697">
        <f>IF(HR_analytics[[#This Row],[Attrition]]="Yes",1,0)</f>
        <v>1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3">
      <c r="A698">
        <v>45</v>
      </c>
      <c r="B698" t="s">
        <v>43</v>
      </c>
      <c r="C698">
        <f>IF(HR_analytics[[#This Row],[Attrition]]="Yes",1,0)</f>
        <v>0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3">
      <c r="A699">
        <v>29</v>
      </c>
      <c r="B699" t="s">
        <v>43</v>
      </c>
      <c r="C699">
        <f>IF(HR_analytics[[#This Row],[Attrition]]="Yes",1,0)</f>
        <v>0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3">
      <c r="A700">
        <v>35</v>
      </c>
      <c r="B700" t="s">
        <v>43</v>
      </c>
      <c r="C700">
        <f>IF(HR_analytics[[#This Row],[Attrition]]="Yes",1,0)</f>
        <v>0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3">
      <c r="A701">
        <v>52</v>
      </c>
      <c r="B701" t="s">
        <v>43</v>
      </c>
      <c r="C701">
        <f>IF(HR_analytics[[#This Row],[Attrition]]="Yes",1,0)</f>
        <v>0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3">
      <c r="A702">
        <v>58</v>
      </c>
      <c r="B702" t="s">
        <v>35</v>
      </c>
      <c r="C702">
        <f>IF(HR_analytics[[#This Row],[Attrition]]="Yes",1,0)</f>
        <v>1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3">
      <c r="A703">
        <v>53</v>
      </c>
      <c r="B703" t="s">
        <v>43</v>
      </c>
      <c r="C703">
        <f>IF(HR_analytics[[#This Row],[Attrition]]="Yes",1,0)</f>
        <v>0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3">
      <c r="A704">
        <v>30</v>
      </c>
      <c r="B704" t="s">
        <v>43</v>
      </c>
      <c r="C704">
        <f>IF(HR_analytics[[#This Row],[Attrition]]="Yes",1,0)</f>
        <v>0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3">
      <c r="A705">
        <v>38</v>
      </c>
      <c r="B705" t="s">
        <v>43</v>
      </c>
      <c r="C705">
        <f>IF(HR_analytics[[#This Row],[Attrition]]="Yes",1,0)</f>
        <v>0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3">
      <c r="A706">
        <v>35</v>
      </c>
      <c r="B706" t="s">
        <v>43</v>
      </c>
      <c r="C706">
        <f>IF(HR_analytics[[#This Row],[Attrition]]="Yes",1,0)</f>
        <v>0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3">
      <c r="A707">
        <v>39</v>
      </c>
      <c r="B707" t="s">
        <v>43</v>
      </c>
      <c r="C707">
        <f>IF(HR_analytics[[#This Row],[Attrition]]="Yes",1,0)</f>
        <v>0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3">
      <c r="A708">
        <v>40</v>
      </c>
      <c r="B708" t="s">
        <v>35</v>
      </c>
      <c r="C708">
        <f>IF(HR_analytics[[#This Row],[Attrition]]="Yes",1,0)</f>
        <v>1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3">
      <c r="A709">
        <v>47</v>
      </c>
      <c r="B709" t="s">
        <v>43</v>
      </c>
      <c r="C709">
        <f>IF(HR_analytics[[#This Row],[Attrition]]="Yes",1,0)</f>
        <v>0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3">
      <c r="A710">
        <v>36</v>
      </c>
      <c r="B710" t="s">
        <v>43</v>
      </c>
      <c r="C710">
        <f>IF(HR_analytics[[#This Row],[Attrition]]="Yes",1,0)</f>
        <v>0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3">
      <c r="A711">
        <v>31</v>
      </c>
      <c r="B711" t="s">
        <v>35</v>
      </c>
      <c r="C711">
        <f>IF(HR_analytics[[#This Row],[Attrition]]="Yes",1,0)</f>
        <v>1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3">
      <c r="A712">
        <v>33</v>
      </c>
      <c r="B712" t="s">
        <v>43</v>
      </c>
      <c r="C712">
        <f>IF(HR_analytics[[#This Row],[Attrition]]="Yes",1,0)</f>
        <v>0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3">
      <c r="A713">
        <v>29</v>
      </c>
      <c r="B713" t="s">
        <v>35</v>
      </c>
      <c r="C713">
        <f>IF(HR_analytics[[#This Row],[Attrition]]="Yes",1,0)</f>
        <v>1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>
        <v>33</v>
      </c>
      <c r="B714" t="s">
        <v>43</v>
      </c>
      <c r="C714">
        <f>IF(HR_analytics[[#This Row],[Attrition]]="Yes",1,0)</f>
        <v>0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3">
      <c r="A715">
        <v>45</v>
      </c>
      <c r="B715" t="s">
        <v>43</v>
      </c>
      <c r="C715">
        <f>IF(HR_analytics[[#This Row],[Attrition]]="Yes",1,0)</f>
        <v>0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3">
      <c r="A716">
        <v>50</v>
      </c>
      <c r="B716" t="s">
        <v>43</v>
      </c>
      <c r="C716">
        <f>IF(HR_analytics[[#This Row],[Attrition]]="Yes",1,0)</f>
        <v>0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3">
      <c r="A717">
        <v>33</v>
      </c>
      <c r="B717" t="s">
        <v>43</v>
      </c>
      <c r="C717">
        <f>IF(HR_analytics[[#This Row],[Attrition]]="Yes",1,0)</f>
        <v>0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3">
      <c r="A718">
        <v>41</v>
      </c>
      <c r="B718" t="s">
        <v>43</v>
      </c>
      <c r="C718">
        <f>IF(HR_analytics[[#This Row],[Attrition]]="Yes",1,0)</f>
        <v>0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3">
      <c r="A719">
        <v>27</v>
      </c>
      <c r="B719" t="s">
        <v>43</v>
      </c>
      <c r="C719">
        <f>IF(HR_analytics[[#This Row],[Attrition]]="Yes",1,0)</f>
        <v>0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3">
      <c r="A720">
        <v>45</v>
      </c>
      <c r="B720" t="s">
        <v>43</v>
      </c>
      <c r="C720">
        <f>IF(HR_analytics[[#This Row],[Attrition]]="Yes",1,0)</f>
        <v>0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3">
      <c r="A721">
        <v>47</v>
      </c>
      <c r="B721" t="s">
        <v>43</v>
      </c>
      <c r="C721">
        <f>IF(HR_analytics[[#This Row],[Attrition]]="Yes",1,0)</f>
        <v>0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3">
      <c r="A722">
        <v>30</v>
      </c>
      <c r="B722" t="s">
        <v>35</v>
      </c>
      <c r="C722">
        <f>IF(HR_analytics[[#This Row],[Attrition]]="Yes",1,0)</f>
        <v>1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3">
      <c r="A723">
        <v>50</v>
      </c>
      <c r="B723" t="s">
        <v>43</v>
      </c>
      <c r="C723">
        <f>IF(HR_analytics[[#This Row],[Attrition]]="Yes",1,0)</f>
        <v>0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3">
      <c r="A724">
        <v>38</v>
      </c>
      <c r="B724" t="s">
        <v>43</v>
      </c>
      <c r="C724">
        <f>IF(HR_analytics[[#This Row],[Attrition]]="Yes",1,0)</f>
        <v>0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3">
      <c r="A725">
        <v>46</v>
      </c>
      <c r="B725" t="s">
        <v>43</v>
      </c>
      <c r="C725">
        <f>IF(HR_analytics[[#This Row],[Attrition]]="Yes",1,0)</f>
        <v>0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3">
      <c r="A726">
        <v>24</v>
      </c>
      <c r="B726" t="s">
        <v>43</v>
      </c>
      <c r="C726">
        <f>IF(HR_analytics[[#This Row],[Attrition]]="Yes",1,0)</f>
        <v>0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3">
      <c r="A727">
        <v>35</v>
      </c>
      <c r="B727" t="s">
        <v>35</v>
      </c>
      <c r="C727">
        <f>IF(HR_analytics[[#This Row],[Attrition]]="Yes",1,0)</f>
        <v>1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3">
      <c r="A728">
        <v>31</v>
      </c>
      <c r="B728" t="s">
        <v>43</v>
      </c>
      <c r="C728">
        <f>IF(HR_analytics[[#This Row],[Attrition]]="Yes",1,0)</f>
        <v>0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3">
      <c r="A729">
        <v>18</v>
      </c>
      <c r="B729" t="s">
        <v>43</v>
      </c>
      <c r="C729">
        <f>IF(HR_analytics[[#This Row],[Attrition]]="Yes",1,0)</f>
        <v>0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t="s">
        <v>43</v>
      </c>
      <c r="C730">
        <f>IF(HR_analytics[[#This Row],[Attrition]]="Yes",1,0)</f>
        <v>0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3">
      <c r="A731">
        <v>35</v>
      </c>
      <c r="B731" t="s">
        <v>43</v>
      </c>
      <c r="C731">
        <f>IF(HR_analytics[[#This Row],[Attrition]]="Yes",1,0)</f>
        <v>0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3">
      <c r="A732">
        <v>30</v>
      </c>
      <c r="B732" t="s">
        <v>43</v>
      </c>
      <c r="C732">
        <f>IF(HR_analytics[[#This Row],[Attrition]]="Yes",1,0)</f>
        <v>0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3">
      <c r="A733">
        <v>20</v>
      </c>
      <c r="B733" t="s">
        <v>35</v>
      </c>
      <c r="C733">
        <f>IF(HR_analytics[[#This Row],[Attrition]]="Yes",1,0)</f>
        <v>1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3">
      <c r="A734">
        <v>30</v>
      </c>
      <c r="B734" t="s">
        <v>35</v>
      </c>
      <c r="C734">
        <f>IF(HR_analytics[[#This Row],[Attrition]]="Yes",1,0)</f>
        <v>1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3">
      <c r="A735">
        <v>26</v>
      </c>
      <c r="B735" t="s">
        <v>43</v>
      </c>
      <c r="C735">
        <f>IF(HR_analytics[[#This Row],[Attrition]]="Yes",1,0)</f>
        <v>0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3">
      <c r="A736">
        <v>22</v>
      </c>
      <c r="B736" t="s">
        <v>43</v>
      </c>
      <c r="C736">
        <f>IF(HR_analytics[[#This Row],[Attrition]]="Yes",1,0)</f>
        <v>0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3">
      <c r="A737">
        <v>48</v>
      </c>
      <c r="B737" t="s">
        <v>43</v>
      </c>
      <c r="C737">
        <f>IF(HR_analytics[[#This Row],[Attrition]]="Yes",1,0)</f>
        <v>0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3">
      <c r="A738">
        <v>48</v>
      </c>
      <c r="B738" t="s">
        <v>43</v>
      </c>
      <c r="C738">
        <f>IF(HR_analytics[[#This Row],[Attrition]]="Yes",1,0)</f>
        <v>0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3">
      <c r="A739">
        <v>41</v>
      </c>
      <c r="B739" t="s">
        <v>43</v>
      </c>
      <c r="C739">
        <f>IF(HR_analytics[[#This Row],[Attrition]]="Yes",1,0)</f>
        <v>0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3">
      <c r="A740">
        <v>39</v>
      </c>
      <c r="B740" t="s">
        <v>43</v>
      </c>
      <c r="C740">
        <f>IF(HR_analytics[[#This Row],[Attrition]]="Yes",1,0)</f>
        <v>0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3">
      <c r="A741">
        <v>27</v>
      </c>
      <c r="B741" t="s">
        <v>43</v>
      </c>
      <c r="C741">
        <f>IF(HR_analytics[[#This Row],[Attrition]]="Yes",1,0)</f>
        <v>0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3">
      <c r="A742">
        <v>35</v>
      </c>
      <c r="B742" t="s">
        <v>43</v>
      </c>
      <c r="C742">
        <f>IF(HR_analytics[[#This Row],[Attrition]]="Yes",1,0)</f>
        <v>0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3">
      <c r="A743">
        <v>42</v>
      </c>
      <c r="B743" t="s">
        <v>43</v>
      </c>
      <c r="C743">
        <f>IF(HR_analytics[[#This Row],[Attrition]]="Yes",1,0)</f>
        <v>0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t="s">
        <v>43</v>
      </c>
      <c r="C744">
        <f>IF(HR_analytics[[#This Row],[Attrition]]="Yes",1,0)</f>
        <v>0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t="s">
        <v>43</v>
      </c>
      <c r="C745">
        <f>IF(HR_analytics[[#This Row],[Attrition]]="Yes",1,0)</f>
        <v>0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3">
      <c r="A746">
        <v>37</v>
      </c>
      <c r="B746" t="s">
        <v>35</v>
      </c>
      <c r="C746">
        <f>IF(HR_analytics[[#This Row],[Attrition]]="Yes",1,0)</f>
        <v>1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3">
      <c r="A747">
        <v>55</v>
      </c>
      <c r="B747" t="s">
        <v>43</v>
      </c>
      <c r="C747">
        <f>IF(HR_analytics[[#This Row],[Attrition]]="Yes",1,0)</f>
        <v>0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3">
      <c r="A748">
        <v>41</v>
      </c>
      <c r="B748" t="s">
        <v>43</v>
      </c>
      <c r="C748">
        <f>IF(HR_analytics[[#This Row],[Attrition]]="Yes",1,0)</f>
        <v>0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3">
      <c r="A749">
        <v>38</v>
      </c>
      <c r="B749" t="s">
        <v>43</v>
      </c>
      <c r="C749">
        <f>IF(HR_analytics[[#This Row],[Attrition]]="Yes",1,0)</f>
        <v>0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t="s">
        <v>35</v>
      </c>
      <c r="C750">
        <f>IF(HR_analytics[[#This Row],[Attrition]]="Yes",1,0)</f>
        <v>1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3">
      <c r="A751">
        <v>52</v>
      </c>
      <c r="B751" t="s">
        <v>35</v>
      </c>
      <c r="C751">
        <f>IF(HR_analytics[[#This Row],[Attrition]]="Yes",1,0)</f>
        <v>1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3">
      <c r="A752">
        <v>44</v>
      </c>
      <c r="B752" t="s">
        <v>43</v>
      </c>
      <c r="C752">
        <f>IF(HR_analytics[[#This Row],[Attrition]]="Yes",1,0)</f>
        <v>0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3">
      <c r="A753">
        <v>50</v>
      </c>
      <c r="B753" t="s">
        <v>43</v>
      </c>
      <c r="C753">
        <f>IF(HR_analytics[[#This Row],[Attrition]]="Yes",1,0)</f>
        <v>0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3">
      <c r="A754">
        <v>36</v>
      </c>
      <c r="B754" t="s">
        <v>35</v>
      </c>
      <c r="C754">
        <f>IF(HR_analytics[[#This Row],[Attrition]]="Yes",1,0)</f>
        <v>1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3">
      <c r="A755">
        <v>39</v>
      </c>
      <c r="B755" t="s">
        <v>43</v>
      </c>
      <c r="C755">
        <f>IF(HR_analytics[[#This Row],[Attrition]]="Yes",1,0)</f>
        <v>0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3">
      <c r="A756">
        <v>33</v>
      </c>
      <c r="B756" t="s">
        <v>43</v>
      </c>
      <c r="C756">
        <f>IF(HR_analytics[[#This Row],[Attrition]]="Yes",1,0)</f>
        <v>0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3">
      <c r="A757">
        <v>45</v>
      </c>
      <c r="B757" t="s">
        <v>43</v>
      </c>
      <c r="C757">
        <f>IF(HR_analytics[[#This Row],[Attrition]]="Yes",1,0)</f>
        <v>0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3">
      <c r="A758">
        <v>32</v>
      </c>
      <c r="B758" t="s">
        <v>43</v>
      </c>
      <c r="C758">
        <f>IF(HR_analytics[[#This Row],[Attrition]]="Yes",1,0)</f>
        <v>0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3">
      <c r="A759">
        <v>34</v>
      </c>
      <c r="B759" t="s">
        <v>43</v>
      </c>
      <c r="C759">
        <f>IF(HR_analytics[[#This Row],[Attrition]]="Yes",1,0)</f>
        <v>0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3">
      <c r="A760">
        <v>59</v>
      </c>
      <c r="B760" t="s">
        <v>43</v>
      </c>
      <c r="C760">
        <f>IF(HR_analytics[[#This Row],[Attrition]]="Yes",1,0)</f>
        <v>0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3">
      <c r="A761">
        <v>45</v>
      </c>
      <c r="B761" t="s">
        <v>43</v>
      </c>
      <c r="C761">
        <f>IF(HR_analytics[[#This Row],[Attrition]]="Yes",1,0)</f>
        <v>0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3">
      <c r="A762">
        <v>53</v>
      </c>
      <c r="B762" t="s">
        <v>43</v>
      </c>
      <c r="C762">
        <f>IF(HR_analytics[[#This Row],[Attrition]]="Yes",1,0)</f>
        <v>0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3">
      <c r="A763">
        <v>36</v>
      </c>
      <c r="B763" t="s">
        <v>35</v>
      </c>
      <c r="C763">
        <f>IF(HR_analytics[[#This Row],[Attrition]]="Yes",1,0)</f>
        <v>1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3">
      <c r="A764">
        <v>26</v>
      </c>
      <c r="B764" t="s">
        <v>35</v>
      </c>
      <c r="C764">
        <f>IF(HR_analytics[[#This Row],[Attrition]]="Yes",1,0)</f>
        <v>1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3">
      <c r="A765">
        <v>34</v>
      </c>
      <c r="B765" t="s">
        <v>43</v>
      </c>
      <c r="C765">
        <f>IF(HR_analytics[[#This Row],[Attrition]]="Yes",1,0)</f>
        <v>0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3">
      <c r="A766">
        <v>28</v>
      </c>
      <c r="B766" t="s">
        <v>43</v>
      </c>
      <c r="C766">
        <f>IF(HR_analytics[[#This Row],[Attrition]]="Yes",1,0)</f>
        <v>0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t="s">
        <v>43</v>
      </c>
      <c r="C767">
        <f>IF(HR_analytics[[#This Row],[Attrition]]="Yes",1,0)</f>
        <v>0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3">
      <c r="A768">
        <v>50</v>
      </c>
      <c r="B768" t="s">
        <v>43</v>
      </c>
      <c r="C768">
        <f>IF(HR_analytics[[#This Row],[Attrition]]="Yes",1,0)</f>
        <v>0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3">
      <c r="A769">
        <v>37</v>
      </c>
      <c r="B769" t="s">
        <v>43</v>
      </c>
      <c r="C769">
        <f>IF(HR_analytics[[#This Row],[Attrition]]="Yes",1,0)</f>
        <v>0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3">
      <c r="A770">
        <v>40</v>
      </c>
      <c r="B770" t="s">
        <v>43</v>
      </c>
      <c r="C770">
        <f>IF(HR_analytics[[#This Row],[Attrition]]="Yes",1,0)</f>
        <v>0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3">
      <c r="A771">
        <v>26</v>
      </c>
      <c r="B771" t="s">
        <v>43</v>
      </c>
      <c r="C771">
        <f>IF(HR_analytics[[#This Row],[Attrition]]="Yes",1,0)</f>
        <v>0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3">
      <c r="A772">
        <v>46</v>
      </c>
      <c r="B772" t="s">
        <v>43</v>
      </c>
      <c r="C772">
        <f>IF(HR_analytics[[#This Row],[Attrition]]="Yes",1,0)</f>
        <v>0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3">
      <c r="A773">
        <v>54</v>
      </c>
      <c r="B773" t="s">
        <v>43</v>
      </c>
      <c r="C773">
        <f>IF(HR_analytics[[#This Row],[Attrition]]="Yes",1,0)</f>
        <v>0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3">
      <c r="A774">
        <v>56</v>
      </c>
      <c r="B774" t="s">
        <v>43</v>
      </c>
      <c r="C774">
        <f>IF(HR_analytics[[#This Row],[Attrition]]="Yes",1,0)</f>
        <v>0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3">
      <c r="A775">
        <v>36</v>
      </c>
      <c r="B775" t="s">
        <v>43</v>
      </c>
      <c r="C775">
        <f>IF(HR_analytics[[#This Row],[Attrition]]="Yes",1,0)</f>
        <v>0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3">
      <c r="A776">
        <v>55</v>
      </c>
      <c r="B776" t="s">
        <v>43</v>
      </c>
      <c r="C776">
        <f>IF(HR_analytics[[#This Row],[Attrition]]="Yes",1,0)</f>
        <v>0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3">
      <c r="A777">
        <v>43</v>
      </c>
      <c r="B777" t="s">
        <v>43</v>
      </c>
      <c r="C777">
        <f>IF(HR_analytics[[#This Row],[Attrition]]="Yes",1,0)</f>
        <v>0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t="s">
        <v>35</v>
      </c>
      <c r="C778">
        <f>IF(HR_analytics[[#This Row],[Attrition]]="Yes",1,0)</f>
        <v>1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3">
      <c r="A779">
        <v>21</v>
      </c>
      <c r="B779" t="s">
        <v>35</v>
      </c>
      <c r="C779">
        <f>IF(HR_analytics[[#This Row],[Attrition]]="Yes",1,0)</f>
        <v>1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3">
      <c r="A780">
        <v>46</v>
      </c>
      <c r="B780" t="s">
        <v>43</v>
      </c>
      <c r="C780">
        <f>IF(HR_analytics[[#This Row],[Attrition]]="Yes",1,0)</f>
        <v>0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3">
      <c r="A781">
        <v>51</v>
      </c>
      <c r="B781" t="s">
        <v>35</v>
      </c>
      <c r="C781">
        <f>IF(HR_analytics[[#This Row],[Attrition]]="Yes",1,0)</f>
        <v>1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3">
      <c r="A782">
        <v>28</v>
      </c>
      <c r="B782" t="s">
        <v>35</v>
      </c>
      <c r="C782">
        <f>IF(HR_analytics[[#This Row],[Attrition]]="Yes",1,0)</f>
        <v>1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3">
      <c r="A783">
        <v>26</v>
      </c>
      <c r="B783" t="s">
        <v>43</v>
      </c>
      <c r="C783">
        <f>IF(HR_analytics[[#This Row],[Attrition]]="Yes",1,0)</f>
        <v>0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3">
      <c r="A784">
        <v>30</v>
      </c>
      <c r="B784" t="s">
        <v>43</v>
      </c>
      <c r="C784">
        <f>IF(HR_analytics[[#This Row],[Attrition]]="Yes",1,0)</f>
        <v>0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3">
      <c r="A785">
        <v>41</v>
      </c>
      <c r="B785" t="s">
        <v>43</v>
      </c>
      <c r="C785">
        <f>IF(HR_analytics[[#This Row],[Attrition]]="Yes",1,0)</f>
        <v>0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3">
      <c r="A786">
        <v>38</v>
      </c>
      <c r="B786" t="s">
        <v>43</v>
      </c>
      <c r="C786">
        <f>IF(HR_analytics[[#This Row],[Attrition]]="Yes",1,0)</f>
        <v>0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3">
      <c r="A787">
        <v>40</v>
      </c>
      <c r="B787" t="s">
        <v>43</v>
      </c>
      <c r="C787">
        <f>IF(HR_analytics[[#This Row],[Attrition]]="Yes",1,0)</f>
        <v>0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3">
      <c r="A788">
        <v>27</v>
      </c>
      <c r="B788" t="s">
        <v>43</v>
      </c>
      <c r="C788">
        <f>IF(HR_analytics[[#This Row],[Attrition]]="Yes",1,0)</f>
        <v>0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3">
      <c r="A789">
        <v>55</v>
      </c>
      <c r="B789" t="s">
        <v>43</v>
      </c>
      <c r="C789">
        <f>IF(HR_analytics[[#This Row],[Attrition]]="Yes",1,0)</f>
        <v>0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3">
      <c r="A790">
        <v>28</v>
      </c>
      <c r="B790" t="s">
        <v>43</v>
      </c>
      <c r="C790">
        <f>IF(HR_analytics[[#This Row],[Attrition]]="Yes",1,0)</f>
        <v>0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3">
      <c r="A791">
        <v>44</v>
      </c>
      <c r="B791" t="s">
        <v>35</v>
      </c>
      <c r="C791">
        <f>IF(HR_analytics[[#This Row],[Attrition]]="Yes",1,0)</f>
        <v>1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3">
      <c r="A792">
        <v>33</v>
      </c>
      <c r="B792" t="s">
        <v>43</v>
      </c>
      <c r="C792">
        <f>IF(HR_analytics[[#This Row],[Attrition]]="Yes",1,0)</f>
        <v>0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3">
      <c r="A793">
        <v>35</v>
      </c>
      <c r="B793" t="s">
        <v>35</v>
      </c>
      <c r="C793">
        <f>IF(HR_analytics[[#This Row],[Attrition]]="Yes",1,0)</f>
        <v>1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3">
      <c r="A794">
        <v>33</v>
      </c>
      <c r="B794" t="s">
        <v>35</v>
      </c>
      <c r="C794">
        <f>IF(HR_analytics[[#This Row],[Attrition]]="Yes",1,0)</f>
        <v>1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3">
      <c r="A795">
        <v>28</v>
      </c>
      <c r="B795" t="s">
        <v>43</v>
      </c>
      <c r="C795">
        <f>IF(HR_analytics[[#This Row],[Attrition]]="Yes",1,0)</f>
        <v>0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3">
      <c r="A796">
        <v>34</v>
      </c>
      <c r="B796" t="s">
        <v>43</v>
      </c>
      <c r="C796">
        <f>IF(HR_analytics[[#This Row],[Attrition]]="Yes",1,0)</f>
        <v>0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3">
      <c r="A797">
        <v>37</v>
      </c>
      <c r="B797" t="s">
        <v>43</v>
      </c>
      <c r="C797">
        <f>IF(HR_analytics[[#This Row],[Attrition]]="Yes",1,0)</f>
        <v>0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t="s">
        <v>35</v>
      </c>
      <c r="C798">
        <f>IF(HR_analytics[[#This Row],[Attrition]]="Yes",1,0)</f>
        <v>1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3">
      <c r="A799">
        <v>26</v>
      </c>
      <c r="B799" t="s">
        <v>35</v>
      </c>
      <c r="C799">
        <f>IF(HR_analytics[[#This Row],[Attrition]]="Yes",1,0)</f>
        <v>1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3">
      <c r="A800">
        <v>33</v>
      </c>
      <c r="B800" t="s">
        <v>35</v>
      </c>
      <c r="C800">
        <f>IF(HR_analytics[[#This Row],[Attrition]]="Yes",1,0)</f>
        <v>1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3">
      <c r="A801">
        <v>42</v>
      </c>
      <c r="B801" t="s">
        <v>43</v>
      </c>
      <c r="C801">
        <f>IF(HR_analytics[[#This Row],[Attrition]]="Yes",1,0)</f>
        <v>0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3">
      <c r="A802">
        <v>28</v>
      </c>
      <c r="B802" t="s">
        <v>35</v>
      </c>
      <c r="C802">
        <f>IF(HR_analytics[[#This Row],[Attrition]]="Yes",1,0)</f>
        <v>1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3">
      <c r="A803">
        <v>50</v>
      </c>
      <c r="B803" t="s">
        <v>35</v>
      </c>
      <c r="C803">
        <f>IF(HR_analytics[[#This Row],[Attrition]]="Yes",1,0)</f>
        <v>1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>
        <v>33</v>
      </c>
      <c r="B804" t="s">
        <v>43</v>
      </c>
      <c r="C804">
        <f>IF(HR_analytics[[#This Row],[Attrition]]="Yes",1,0)</f>
        <v>0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3">
      <c r="A805">
        <v>34</v>
      </c>
      <c r="B805" t="s">
        <v>43</v>
      </c>
      <c r="C805">
        <f>IF(HR_analytics[[#This Row],[Attrition]]="Yes",1,0)</f>
        <v>0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t="s">
        <v>43</v>
      </c>
      <c r="C806">
        <f>IF(HR_analytics[[#This Row],[Attrition]]="Yes",1,0)</f>
        <v>0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3">
      <c r="A807">
        <v>45</v>
      </c>
      <c r="B807" t="s">
        <v>43</v>
      </c>
      <c r="C807">
        <f>IF(HR_analytics[[#This Row],[Attrition]]="Yes",1,0)</f>
        <v>0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3">
      <c r="A808">
        <v>52</v>
      </c>
      <c r="B808" t="s">
        <v>43</v>
      </c>
      <c r="C808">
        <f>IF(HR_analytics[[#This Row],[Attrition]]="Yes",1,0)</f>
        <v>0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3">
      <c r="A809">
        <v>38</v>
      </c>
      <c r="B809" t="s">
        <v>43</v>
      </c>
      <c r="C809">
        <f>IF(HR_analytics[[#This Row],[Attrition]]="Yes",1,0)</f>
        <v>0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3">
      <c r="A810">
        <v>29</v>
      </c>
      <c r="B810" t="s">
        <v>43</v>
      </c>
      <c r="C810">
        <f>IF(HR_analytics[[#This Row],[Attrition]]="Yes",1,0)</f>
        <v>0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3">
      <c r="A811">
        <v>28</v>
      </c>
      <c r="B811" t="s">
        <v>43</v>
      </c>
      <c r="C811">
        <f>IF(HR_analytics[[#This Row],[Attrition]]="Yes",1,0)</f>
        <v>0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3">
      <c r="A812">
        <v>46</v>
      </c>
      <c r="B812" t="s">
        <v>43</v>
      </c>
      <c r="C812">
        <f>IF(HR_analytics[[#This Row],[Attrition]]="Yes",1,0)</f>
        <v>0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3">
      <c r="A813">
        <v>38</v>
      </c>
      <c r="B813" t="s">
        <v>43</v>
      </c>
      <c r="C813">
        <f>IF(HR_analytics[[#This Row],[Attrition]]="Yes",1,0)</f>
        <v>0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t="s">
        <v>43</v>
      </c>
      <c r="C814">
        <f>IF(HR_analytics[[#This Row],[Attrition]]="Yes",1,0)</f>
        <v>0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3">
      <c r="A815">
        <v>39</v>
      </c>
      <c r="B815" t="s">
        <v>35</v>
      </c>
      <c r="C815">
        <f>IF(HR_analytics[[#This Row],[Attrition]]="Yes",1,0)</f>
        <v>1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3">
      <c r="A816">
        <v>40</v>
      </c>
      <c r="B816" t="s">
        <v>43</v>
      </c>
      <c r="C816">
        <f>IF(HR_analytics[[#This Row],[Attrition]]="Yes",1,0)</f>
        <v>0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3">
      <c r="A817">
        <v>21</v>
      </c>
      <c r="B817" t="s">
        <v>43</v>
      </c>
      <c r="C817">
        <f>IF(HR_analytics[[#This Row],[Attrition]]="Yes",1,0)</f>
        <v>0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3">
      <c r="A818">
        <v>39</v>
      </c>
      <c r="B818" t="s">
        <v>43</v>
      </c>
      <c r="C818">
        <f>IF(HR_analytics[[#This Row],[Attrition]]="Yes",1,0)</f>
        <v>0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3">
      <c r="A819">
        <v>36</v>
      </c>
      <c r="B819" t="s">
        <v>43</v>
      </c>
      <c r="C819">
        <f>IF(HR_analytics[[#This Row],[Attrition]]="Yes",1,0)</f>
        <v>0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3">
      <c r="A820">
        <v>31</v>
      </c>
      <c r="B820" t="s">
        <v>43</v>
      </c>
      <c r="C820">
        <f>IF(HR_analytics[[#This Row],[Attrition]]="Yes",1,0)</f>
        <v>0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3">
      <c r="A821">
        <v>28</v>
      </c>
      <c r="B821" t="s">
        <v>43</v>
      </c>
      <c r="C821">
        <f>IF(HR_analytics[[#This Row],[Attrition]]="Yes",1,0)</f>
        <v>0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3">
      <c r="A822">
        <v>35</v>
      </c>
      <c r="B822" t="s">
        <v>43</v>
      </c>
      <c r="C822">
        <f>IF(HR_analytics[[#This Row],[Attrition]]="Yes",1,0)</f>
        <v>0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3">
      <c r="A823">
        <v>49</v>
      </c>
      <c r="B823" t="s">
        <v>43</v>
      </c>
      <c r="C823">
        <f>IF(HR_analytics[[#This Row],[Attrition]]="Yes",1,0)</f>
        <v>0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3">
      <c r="A824">
        <v>34</v>
      </c>
      <c r="B824" t="s">
        <v>43</v>
      </c>
      <c r="C824">
        <f>IF(HR_analytics[[#This Row],[Attrition]]="Yes",1,0)</f>
        <v>0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3">
      <c r="A825">
        <v>29</v>
      </c>
      <c r="B825" t="s">
        <v>43</v>
      </c>
      <c r="C825">
        <f>IF(HR_analytics[[#This Row],[Attrition]]="Yes",1,0)</f>
        <v>0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3">
      <c r="A826">
        <v>42</v>
      </c>
      <c r="B826" t="s">
        <v>43</v>
      </c>
      <c r="C826">
        <f>IF(HR_analytics[[#This Row],[Attrition]]="Yes",1,0)</f>
        <v>0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t="s">
        <v>43</v>
      </c>
      <c r="C827">
        <f>IF(HR_analytics[[#This Row],[Attrition]]="Yes",1,0)</f>
        <v>0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3">
      <c r="A828">
        <v>38</v>
      </c>
      <c r="B828" t="s">
        <v>43</v>
      </c>
      <c r="C828">
        <f>IF(HR_analytics[[#This Row],[Attrition]]="Yes",1,0)</f>
        <v>0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3">
      <c r="A829">
        <v>28</v>
      </c>
      <c r="B829" t="s">
        <v>43</v>
      </c>
      <c r="C829">
        <f>IF(HR_analytics[[#This Row],[Attrition]]="Yes",1,0)</f>
        <v>0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3">
      <c r="A830">
        <v>18</v>
      </c>
      <c r="B830" t="s">
        <v>35</v>
      </c>
      <c r="C830">
        <f>IF(HR_analytics[[#This Row],[Attrition]]="Yes",1,0)</f>
        <v>1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>
        <v>33</v>
      </c>
      <c r="B831" t="s">
        <v>35</v>
      </c>
      <c r="C831">
        <f>IF(HR_analytics[[#This Row],[Attrition]]="Yes",1,0)</f>
        <v>1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3">
      <c r="A832">
        <v>41</v>
      </c>
      <c r="B832" t="s">
        <v>43</v>
      </c>
      <c r="C832">
        <f>IF(HR_analytics[[#This Row],[Attrition]]="Yes",1,0)</f>
        <v>0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t="s">
        <v>35</v>
      </c>
      <c r="C833">
        <f>IF(HR_analytics[[#This Row],[Attrition]]="Yes",1,0)</f>
        <v>1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3">
      <c r="A834">
        <v>37</v>
      </c>
      <c r="B834" t="s">
        <v>43</v>
      </c>
      <c r="C834">
        <f>IF(HR_analytics[[#This Row],[Attrition]]="Yes",1,0)</f>
        <v>0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3">
      <c r="A835">
        <v>27</v>
      </c>
      <c r="B835" t="s">
        <v>43</v>
      </c>
      <c r="C835">
        <f>IF(HR_analytics[[#This Row],[Attrition]]="Yes",1,0)</f>
        <v>0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3">
      <c r="A836">
        <v>34</v>
      </c>
      <c r="B836" t="s">
        <v>43</v>
      </c>
      <c r="C836">
        <f>IF(HR_analytics[[#This Row],[Attrition]]="Yes",1,0)</f>
        <v>0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3">
      <c r="A837">
        <v>35</v>
      </c>
      <c r="B837" t="s">
        <v>43</v>
      </c>
      <c r="C837">
        <f>IF(HR_analytics[[#This Row],[Attrition]]="Yes",1,0)</f>
        <v>0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3">
      <c r="A838">
        <v>29</v>
      </c>
      <c r="B838" t="s">
        <v>35</v>
      </c>
      <c r="C838">
        <f>IF(HR_analytics[[#This Row],[Attrition]]="Yes",1,0)</f>
        <v>1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3">
      <c r="A839">
        <v>40</v>
      </c>
      <c r="B839" t="s">
        <v>43</v>
      </c>
      <c r="C839">
        <f>IF(HR_analytics[[#This Row],[Attrition]]="Yes",1,0)</f>
        <v>0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3">
      <c r="A840">
        <v>42</v>
      </c>
      <c r="B840" t="s">
        <v>35</v>
      </c>
      <c r="C840">
        <f>IF(HR_analytics[[#This Row],[Attrition]]="Yes",1,0)</f>
        <v>1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3">
      <c r="A841">
        <v>42</v>
      </c>
      <c r="B841" t="s">
        <v>43</v>
      </c>
      <c r="C841">
        <f>IF(HR_analytics[[#This Row],[Attrition]]="Yes",1,0)</f>
        <v>0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3">
      <c r="A842">
        <v>35</v>
      </c>
      <c r="B842" t="s">
        <v>43</v>
      </c>
      <c r="C842">
        <f>IF(HR_analytics[[#This Row],[Attrition]]="Yes",1,0)</f>
        <v>0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3">
      <c r="A843">
        <v>24</v>
      </c>
      <c r="B843" t="s">
        <v>43</v>
      </c>
      <c r="C843">
        <f>IF(HR_analytics[[#This Row],[Attrition]]="Yes",1,0)</f>
        <v>0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3">
      <c r="A844">
        <v>28</v>
      </c>
      <c r="B844" t="s">
        <v>35</v>
      </c>
      <c r="C844">
        <f>IF(HR_analytics[[#This Row],[Attrition]]="Yes",1,0)</f>
        <v>1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3">
      <c r="A845">
        <v>26</v>
      </c>
      <c r="B845" t="s">
        <v>43</v>
      </c>
      <c r="C845">
        <f>IF(HR_analytics[[#This Row],[Attrition]]="Yes",1,0)</f>
        <v>0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3">
      <c r="A846">
        <v>30</v>
      </c>
      <c r="B846" t="s">
        <v>43</v>
      </c>
      <c r="C846">
        <f>IF(HR_analytics[[#This Row],[Attrition]]="Yes",1,0)</f>
        <v>0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3">
      <c r="A847">
        <v>40</v>
      </c>
      <c r="B847" t="s">
        <v>43</v>
      </c>
      <c r="C847">
        <f>IF(HR_analytics[[#This Row],[Attrition]]="Yes",1,0)</f>
        <v>0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3">
      <c r="A848">
        <v>35</v>
      </c>
      <c r="B848" t="s">
        <v>43</v>
      </c>
      <c r="C848">
        <f>IF(HR_analytics[[#This Row],[Attrition]]="Yes",1,0)</f>
        <v>0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3">
      <c r="A849">
        <v>34</v>
      </c>
      <c r="B849" t="s">
        <v>43</v>
      </c>
      <c r="C849">
        <f>IF(HR_analytics[[#This Row],[Attrition]]="Yes",1,0)</f>
        <v>0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3">
      <c r="A850">
        <v>35</v>
      </c>
      <c r="B850" t="s">
        <v>43</v>
      </c>
      <c r="C850">
        <f>IF(HR_analytics[[#This Row],[Attrition]]="Yes",1,0)</f>
        <v>0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3">
      <c r="A851">
        <v>43</v>
      </c>
      <c r="B851" t="s">
        <v>35</v>
      </c>
      <c r="C851">
        <f>IF(HR_analytics[[#This Row],[Attrition]]="Yes",1,0)</f>
        <v>1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3">
      <c r="A852">
        <v>32</v>
      </c>
      <c r="B852" t="s">
        <v>43</v>
      </c>
      <c r="C852">
        <f>IF(HR_analytics[[#This Row],[Attrition]]="Yes",1,0)</f>
        <v>0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t="s">
        <v>43</v>
      </c>
      <c r="C853">
        <f>IF(HR_analytics[[#This Row],[Attrition]]="Yes",1,0)</f>
        <v>0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3">
      <c r="A854">
        <v>29</v>
      </c>
      <c r="B854" t="s">
        <v>43</v>
      </c>
      <c r="C854">
        <f>IF(HR_analytics[[#This Row],[Attrition]]="Yes",1,0)</f>
        <v>0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3">
      <c r="A855">
        <v>19</v>
      </c>
      <c r="B855" t="s">
        <v>43</v>
      </c>
      <c r="C855">
        <f>IF(HR_analytics[[#This Row],[Attrition]]="Yes",1,0)</f>
        <v>0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3">
      <c r="A856">
        <v>45</v>
      </c>
      <c r="B856" t="s">
        <v>43</v>
      </c>
      <c r="C856">
        <f>IF(HR_analytics[[#This Row],[Attrition]]="Yes",1,0)</f>
        <v>0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3">
      <c r="A857">
        <v>37</v>
      </c>
      <c r="B857" t="s">
        <v>43</v>
      </c>
      <c r="C857">
        <f>IF(HR_analytics[[#This Row],[Attrition]]="Yes",1,0)</f>
        <v>0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3">
      <c r="A858">
        <v>20</v>
      </c>
      <c r="B858" t="s">
        <v>43</v>
      </c>
      <c r="C858">
        <f>IF(HR_analytics[[#This Row],[Attrition]]="Yes",1,0)</f>
        <v>0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3">
      <c r="A859">
        <v>44</v>
      </c>
      <c r="B859" t="s">
        <v>35</v>
      </c>
      <c r="C859">
        <f>IF(HR_analytics[[#This Row],[Attrition]]="Yes",1,0)</f>
        <v>1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3">
      <c r="A860">
        <v>53</v>
      </c>
      <c r="B860" t="s">
        <v>43</v>
      </c>
      <c r="C860">
        <f>IF(HR_analytics[[#This Row],[Attrition]]="Yes",1,0)</f>
        <v>0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3">
      <c r="A861">
        <v>29</v>
      </c>
      <c r="B861" t="s">
        <v>43</v>
      </c>
      <c r="C861">
        <f>IF(HR_analytics[[#This Row],[Attrition]]="Yes",1,0)</f>
        <v>0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3">
      <c r="A862">
        <v>22</v>
      </c>
      <c r="B862" t="s">
        <v>35</v>
      </c>
      <c r="C862">
        <f>IF(HR_analytics[[#This Row],[Attrition]]="Yes",1,0)</f>
        <v>1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>
        <v>46</v>
      </c>
      <c r="B863" t="s">
        <v>43</v>
      </c>
      <c r="C863">
        <f>IF(HR_analytics[[#This Row],[Attrition]]="Yes",1,0)</f>
        <v>0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3">
      <c r="A864">
        <v>44</v>
      </c>
      <c r="B864" t="s">
        <v>43</v>
      </c>
      <c r="C864">
        <f>IF(HR_analytics[[#This Row],[Attrition]]="Yes",1,0)</f>
        <v>0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t="s">
        <v>43</v>
      </c>
      <c r="C865">
        <f>IF(HR_analytics[[#This Row],[Attrition]]="Yes",1,0)</f>
        <v>0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3">
      <c r="A866">
        <v>41</v>
      </c>
      <c r="B866" t="s">
        <v>35</v>
      </c>
      <c r="C866">
        <f>IF(HR_analytics[[#This Row],[Attrition]]="Yes",1,0)</f>
        <v>1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3">
      <c r="A867">
        <v>30</v>
      </c>
      <c r="B867" t="s">
        <v>43</v>
      </c>
      <c r="C867">
        <f>IF(HR_analytics[[#This Row],[Attrition]]="Yes",1,0)</f>
        <v>0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3">
      <c r="A868">
        <v>40</v>
      </c>
      <c r="B868" t="s">
        <v>43</v>
      </c>
      <c r="C868">
        <f>IF(HR_analytics[[#This Row],[Attrition]]="Yes",1,0)</f>
        <v>0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t="s">
        <v>43</v>
      </c>
      <c r="C869">
        <f>IF(HR_analytics[[#This Row],[Attrition]]="Yes",1,0)</f>
        <v>0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3">
      <c r="A870">
        <v>28</v>
      </c>
      <c r="B870" t="s">
        <v>43</v>
      </c>
      <c r="C870">
        <f>IF(HR_analytics[[#This Row],[Attrition]]="Yes",1,0)</f>
        <v>0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3">
      <c r="A871">
        <v>46</v>
      </c>
      <c r="B871" t="s">
        <v>43</v>
      </c>
      <c r="C871">
        <f>IF(HR_analytics[[#This Row],[Attrition]]="Yes",1,0)</f>
        <v>0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3">
      <c r="A872">
        <v>35</v>
      </c>
      <c r="B872" t="s">
        <v>43</v>
      </c>
      <c r="C872">
        <f>IF(HR_analytics[[#This Row],[Attrition]]="Yes",1,0)</f>
        <v>0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3">
      <c r="A873">
        <v>24</v>
      </c>
      <c r="B873" t="s">
        <v>35</v>
      </c>
      <c r="C873">
        <f>IF(HR_analytics[[#This Row],[Attrition]]="Yes",1,0)</f>
        <v>1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3">
      <c r="A874">
        <v>33</v>
      </c>
      <c r="B874" t="s">
        <v>43</v>
      </c>
      <c r="C874">
        <f>IF(HR_analytics[[#This Row],[Attrition]]="Yes",1,0)</f>
        <v>0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3">
      <c r="A875">
        <v>36</v>
      </c>
      <c r="B875" t="s">
        <v>43</v>
      </c>
      <c r="C875">
        <f>IF(HR_analytics[[#This Row],[Attrition]]="Yes",1,0)</f>
        <v>0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3">
      <c r="A876">
        <v>30</v>
      </c>
      <c r="B876" t="s">
        <v>43</v>
      </c>
      <c r="C876">
        <f>IF(HR_analytics[[#This Row],[Attrition]]="Yes",1,0)</f>
        <v>0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3">
      <c r="A877">
        <v>44</v>
      </c>
      <c r="B877" t="s">
        <v>43</v>
      </c>
      <c r="C877">
        <f>IF(HR_analytics[[#This Row],[Attrition]]="Yes",1,0)</f>
        <v>0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3">
      <c r="A878">
        <v>20</v>
      </c>
      <c r="B878" t="s">
        <v>43</v>
      </c>
      <c r="C878">
        <f>IF(HR_analytics[[#This Row],[Attrition]]="Yes",1,0)</f>
        <v>0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3">
      <c r="A879">
        <v>46</v>
      </c>
      <c r="B879" t="s">
        <v>43</v>
      </c>
      <c r="C879">
        <f>IF(HR_analytics[[#This Row],[Attrition]]="Yes",1,0)</f>
        <v>0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3">
      <c r="A880">
        <v>42</v>
      </c>
      <c r="B880" t="s">
        <v>43</v>
      </c>
      <c r="C880">
        <f>IF(HR_analytics[[#This Row],[Attrition]]="Yes",1,0)</f>
        <v>0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3">
      <c r="A881">
        <v>60</v>
      </c>
      <c r="B881" t="s">
        <v>43</v>
      </c>
      <c r="C881">
        <f>IF(HR_analytics[[#This Row],[Attrition]]="Yes",1,0)</f>
        <v>0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3">
      <c r="A882">
        <v>32</v>
      </c>
      <c r="B882" t="s">
        <v>43</v>
      </c>
      <c r="C882">
        <f>IF(HR_analytics[[#This Row],[Attrition]]="Yes",1,0)</f>
        <v>0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3">
      <c r="A883">
        <v>32</v>
      </c>
      <c r="B883" t="s">
        <v>43</v>
      </c>
      <c r="C883">
        <f>IF(HR_analytics[[#This Row],[Attrition]]="Yes",1,0)</f>
        <v>0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3">
      <c r="A884">
        <v>36</v>
      </c>
      <c r="B884" t="s">
        <v>43</v>
      </c>
      <c r="C884">
        <f>IF(HR_analytics[[#This Row],[Attrition]]="Yes",1,0)</f>
        <v>0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3">
      <c r="A885">
        <v>33</v>
      </c>
      <c r="B885" t="s">
        <v>43</v>
      </c>
      <c r="C885">
        <f>IF(HR_analytics[[#This Row],[Attrition]]="Yes",1,0)</f>
        <v>0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3">
      <c r="A886">
        <v>40</v>
      </c>
      <c r="B886" t="s">
        <v>43</v>
      </c>
      <c r="C886">
        <f>IF(HR_analytics[[#This Row],[Attrition]]="Yes",1,0)</f>
        <v>0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3">
      <c r="A887">
        <v>25</v>
      </c>
      <c r="B887" t="s">
        <v>43</v>
      </c>
      <c r="C887">
        <f>IF(HR_analytics[[#This Row],[Attrition]]="Yes",1,0)</f>
        <v>0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3">
      <c r="A888">
        <v>30</v>
      </c>
      <c r="B888" t="s">
        <v>43</v>
      </c>
      <c r="C888">
        <f>IF(HR_analytics[[#This Row],[Attrition]]="Yes",1,0)</f>
        <v>0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3">
      <c r="A889">
        <v>42</v>
      </c>
      <c r="B889" t="s">
        <v>43</v>
      </c>
      <c r="C889">
        <f>IF(HR_analytics[[#This Row],[Attrition]]="Yes",1,0)</f>
        <v>0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t="s">
        <v>43</v>
      </c>
      <c r="C890">
        <f>IF(HR_analytics[[#This Row],[Attrition]]="Yes",1,0)</f>
        <v>0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3">
      <c r="A891">
        <v>27</v>
      </c>
      <c r="B891" t="s">
        <v>43</v>
      </c>
      <c r="C891">
        <f>IF(HR_analytics[[#This Row],[Attrition]]="Yes",1,0)</f>
        <v>0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3">
      <c r="A892">
        <v>54</v>
      </c>
      <c r="B892" t="s">
        <v>43</v>
      </c>
      <c r="C892">
        <f>IF(HR_analytics[[#This Row],[Attrition]]="Yes",1,0)</f>
        <v>0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3">
      <c r="A893">
        <v>44</v>
      </c>
      <c r="B893" t="s">
        <v>43</v>
      </c>
      <c r="C893">
        <f>IF(HR_analytics[[#This Row],[Attrition]]="Yes",1,0)</f>
        <v>0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3">
      <c r="A894">
        <v>19</v>
      </c>
      <c r="B894" t="s">
        <v>35</v>
      </c>
      <c r="C894">
        <f>IF(HR_analytics[[#This Row],[Attrition]]="Yes",1,0)</f>
        <v>1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3">
      <c r="A895">
        <v>29</v>
      </c>
      <c r="B895" t="s">
        <v>43</v>
      </c>
      <c r="C895">
        <f>IF(HR_analytics[[#This Row],[Attrition]]="Yes",1,0)</f>
        <v>0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3">
      <c r="A896">
        <v>54</v>
      </c>
      <c r="B896" t="s">
        <v>43</v>
      </c>
      <c r="C896">
        <f>IF(HR_analytics[[#This Row],[Attrition]]="Yes",1,0)</f>
        <v>0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3">
      <c r="A897">
        <v>31</v>
      </c>
      <c r="B897" t="s">
        <v>43</v>
      </c>
      <c r="C897">
        <f>IF(HR_analytics[[#This Row],[Attrition]]="Yes",1,0)</f>
        <v>0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3">
      <c r="A898">
        <v>31</v>
      </c>
      <c r="B898" t="s">
        <v>43</v>
      </c>
      <c r="C898">
        <f>IF(HR_analytics[[#This Row],[Attrition]]="Yes",1,0)</f>
        <v>0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3">
      <c r="A899">
        <v>59</v>
      </c>
      <c r="B899" t="s">
        <v>43</v>
      </c>
      <c r="C899">
        <f>IF(HR_analytics[[#This Row],[Attrition]]="Yes",1,0)</f>
        <v>0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3">
      <c r="A900">
        <v>43</v>
      </c>
      <c r="B900" t="s">
        <v>43</v>
      </c>
      <c r="C900">
        <f>IF(HR_analytics[[#This Row],[Attrition]]="Yes",1,0)</f>
        <v>0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3">
      <c r="A901">
        <v>49</v>
      </c>
      <c r="B901" t="s">
        <v>43</v>
      </c>
      <c r="C901">
        <f>IF(HR_analytics[[#This Row],[Attrition]]="Yes",1,0)</f>
        <v>0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t="s">
        <v>43</v>
      </c>
      <c r="C902">
        <f>IF(HR_analytics[[#This Row],[Attrition]]="Yes",1,0)</f>
        <v>0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3">
      <c r="A903">
        <v>48</v>
      </c>
      <c r="B903" t="s">
        <v>43</v>
      </c>
      <c r="C903">
        <f>IF(HR_analytics[[#This Row],[Attrition]]="Yes",1,0)</f>
        <v>0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t="s">
        <v>43</v>
      </c>
      <c r="C904">
        <f>IF(HR_analytics[[#This Row],[Attrition]]="Yes",1,0)</f>
        <v>0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3">
      <c r="A905">
        <v>29</v>
      </c>
      <c r="B905" t="s">
        <v>43</v>
      </c>
      <c r="C905">
        <f>IF(HR_analytics[[#This Row],[Attrition]]="Yes",1,0)</f>
        <v>0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3">
      <c r="A906">
        <v>48</v>
      </c>
      <c r="B906" t="s">
        <v>43</v>
      </c>
      <c r="C906">
        <f>IF(HR_analytics[[#This Row],[Attrition]]="Yes",1,0)</f>
        <v>0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t="s">
        <v>43</v>
      </c>
      <c r="C907">
        <f>IF(HR_analytics[[#This Row],[Attrition]]="Yes",1,0)</f>
        <v>0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3">
      <c r="A908">
        <v>34</v>
      </c>
      <c r="B908" t="s">
        <v>43</v>
      </c>
      <c r="C908">
        <f>IF(HR_analytics[[#This Row],[Attrition]]="Yes",1,0)</f>
        <v>0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t="s">
        <v>43</v>
      </c>
      <c r="C909">
        <f>IF(HR_analytics[[#This Row],[Attrition]]="Yes",1,0)</f>
        <v>0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3">
      <c r="A910">
        <v>33</v>
      </c>
      <c r="B910" t="s">
        <v>43</v>
      </c>
      <c r="C910">
        <f>IF(HR_analytics[[#This Row],[Attrition]]="Yes",1,0)</f>
        <v>0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3">
      <c r="A911">
        <v>19</v>
      </c>
      <c r="B911" t="s">
        <v>43</v>
      </c>
      <c r="C911">
        <f>IF(HR_analytics[[#This Row],[Attrition]]="Yes",1,0)</f>
        <v>0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3">
      <c r="A912">
        <v>23</v>
      </c>
      <c r="B912" t="s">
        <v>43</v>
      </c>
      <c r="C912">
        <f>IF(HR_analytics[[#This Row],[Attrition]]="Yes",1,0)</f>
        <v>0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3">
      <c r="A913">
        <v>25</v>
      </c>
      <c r="B913" t="s">
        <v>35</v>
      </c>
      <c r="C913">
        <f>IF(HR_analytics[[#This Row],[Attrition]]="Yes",1,0)</f>
        <v>1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3">
      <c r="A914">
        <v>26</v>
      </c>
      <c r="B914" t="s">
        <v>43</v>
      </c>
      <c r="C914">
        <f>IF(HR_analytics[[#This Row],[Attrition]]="Yes",1,0)</f>
        <v>0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3">
      <c r="A915">
        <v>45</v>
      </c>
      <c r="B915" t="s">
        <v>35</v>
      </c>
      <c r="C915">
        <f>IF(HR_analytics[[#This Row],[Attrition]]="Yes",1,0)</f>
        <v>1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3">
      <c r="A916">
        <v>55</v>
      </c>
      <c r="B916" t="s">
        <v>43</v>
      </c>
      <c r="C916">
        <f>IF(HR_analytics[[#This Row],[Attrition]]="Yes",1,0)</f>
        <v>0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3">
      <c r="A917">
        <v>21</v>
      </c>
      <c r="B917" t="s">
        <v>35</v>
      </c>
      <c r="C917">
        <f>IF(HR_analytics[[#This Row],[Attrition]]="Yes",1,0)</f>
        <v>1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3">
      <c r="A918">
        <v>46</v>
      </c>
      <c r="B918" t="s">
        <v>43</v>
      </c>
      <c r="C918">
        <f>IF(HR_analytics[[#This Row],[Attrition]]="Yes",1,0)</f>
        <v>0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3">
      <c r="A919">
        <v>34</v>
      </c>
      <c r="B919" t="s">
        <v>43</v>
      </c>
      <c r="C919">
        <f>IF(HR_analytics[[#This Row],[Attrition]]="Yes",1,0)</f>
        <v>0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3">
      <c r="A920">
        <v>51</v>
      </c>
      <c r="B920" t="s">
        <v>43</v>
      </c>
      <c r="C920">
        <f>IF(HR_analytics[[#This Row],[Attrition]]="Yes",1,0)</f>
        <v>0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3">
      <c r="A921">
        <v>59</v>
      </c>
      <c r="B921" t="s">
        <v>43</v>
      </c>
      <c r="C921">
        <f>IF(HR_analytics[[#This Row],[Attrition]]="Yes",1,0)</f>
        <v>0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3">
      <c r="A922">
        <v>34</v>
      </c>
      <c r="B922" t="s">
        <v>43</v>
      </c>
      <c r="C922">
        <f>IF(HR_analytics[[#This Row],[Attrition]]="Yes",1,0)</f>
        <v>0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3">
      <c r="A923">
        <v>28</v>
      </c>
      <c r="B923" t="s">
        <v>43</v>
      </c>
      <c r="C923">
        <f>IF(HR_analytics[[#This Row],[Attrition]]="Yes",1,0)</f>
        <v>0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3">
      <c r="A924">
        <v>44</v>
      </c>
      <c r="B924" t="s">
        <v>43</v>
      </c>
      <c r="C924">
        <f>IF(HR_analytics[[#This Row],[Attrition]]="Yes",1,0)</f>
        <v>0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3">
      <c r="A925">
        <v>34</v>
      </c>
      <c r="B925" t="s">
        <v>43</v>
      </c>
      <c r="C925">
        <f>IF(HR_analytics[[#This Row],[Attrition]]="Yes",1,0)</f>
        <v>0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3">
      <c r="A926">
        <v>35</v>
      </c>
      <c r="B926" t="s">
        <v>43</v>
      </c>
      <c r="C926">
        <f>IF(HR_analytics[[#This Row],[Attrition]]="Yes",1,0)</f>
        <v>0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3">
      <c r="A927">
        <v>42</v>
      </c>
      <c r="B927" t="s">
        <v>43</v>
      </c>
      <c r="C927">
        <f>IF(HR_analytics[[#This Row],[Attrition]]="Yes",1,0)</f>
        <v>0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t="s">
        <v>43</v>
      </c>
      <c r="C928">
        <f>IF(HR_analytics[[#This Row],[Attrition]]="Yes",1,0)</f>
        <v>0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3">
      <c r="A929">
        <v>36</v>
      </c>
      <c r="B929" t="s">
        <v>43</v>
      </c>
      <c r="C929">
        <f>IF(HR_analytics[[#This Row],[Attrition]]="Yes",1,0)</f>
        <v>0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3">
      <c r="A930">
        <v>44</v>
      </c>
      <c r="B930" t="s">
        <v>35</v>
      </c>
      <c r="C930">
        <f>IF(HR_analytics[[#This Row],[Attrition]]="Yes",1,0)</f>
        <v>1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3">
      <c r="A931">
        <v>28</v>
      </c>
      <c r="B931" t="s">
        <v>43</v>
      </c>
      <c r="C931">
        <f>IF(HR_analytics[[#This Row],[Attrition]]="Yes",1,0)</f>
        <v>0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3">
      <c r="A932">
        <v>51</v>
      </c>
      <c r="B932" t="s">
        <v>43</v>
      </c>
      <c r="C932">
        <f>IF(HR_analytics[[#This Row],[Attrition]]="Yes",1,0)</f>
        <v>0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3">
      <c r="A933">
        <v>30</v>
      </c>
      <c r="B933" t="s">
        <v>43</v>
      </c>
      <c r="C933">
        <f>IF(HR_analytics[[#This Row],[Attrition]]="Yes",1,0)</f>
        <v>0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3">
      <c r="A934">
        <v>29</v>
      </c>
      <c r="B934" t="s">
        <v>35</v>
      </c>
      <c r="C934">
        <f>IF(HR_analytics[[#This Row],[Attrition]]="Yes",1,0)</f>
        <v>1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3">
      <c r="A935">
        <v>28</v>
      </c>
      <c r="B935" t="s">
        <v>43</v>
      </c>
      <c r="C935">
        <f>IF(HR_analytics[[#This Row],[Attrition]]="Yes",1,0)</f>
        <v>0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3">
      <c r="A936">
        <v>25</v>
      </c>
      <c r="B936" t="s">
        <v>43</v>
      </c>
      <c r="C936">
        <f>IF(HR_analytics[[#This Row],[Attrition]]="Yes",1,0)</f>
        <v>0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3">
      <c r="A937">
        <v>32</v>
      </c>
      <c r="B937" t="s">
        <v>43</v>
      </c>
      <c r="C937">
        <f>IF(HR_analytics[[#This Row],[Attrition]]="Yes",1,0)</f>
        <v>0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3">
      <c r="A938">
        <v>45</v>
      </c>
      <c r="B938" t="s">
        <v>43</v>
      </c>
      <c r="C938">
        <f>IF(HR_analytics[[#This Row],[Attrition]]="Yes",1,0)</f>
        <v>0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t="s">
        <v>43</v>
      </c>
      <c r="C939">
        <f>IF(HR_analytics[[#This Row],[Attrition]]="Yes",1,0)</f>
        <v>0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3">
      <c r="A940">
        <v>58</v>
      </c>
      <c r="B940" t="s">
        <v>43</v>
      </c>
      <c r="C940">
        <f>IF(HR_analytics[[#This Row],[Attrition]]="Yes",1,0)</f>
        <v>0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3">
      <c r="A941">
        <v>32</v>
      </c>
      <c r="B941" t="s">
        <v>35</v>
      </c>
      <c r="C941">
        <f>IF(HR_analytics[[#This Row],[Attrition]]="Yes",1,0)</f>
        <v>1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3">
      <c r="A942">
        <v>39</v>
      </c>
      <c r="B942" t="s">
        <v>35</v>
      </c>
      <c r="C942">
        <f>IF(HR_analytics[[#This Row],[Attrition]]="Yes",1,0)</f>
        <v>1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3">
      <c r="A943">
        <v>30</v>
      </c>
      <c r="B943" t="s">
        <v>43</v>
      </c>
      <c r="C943">
        <f>IF(HR_analytics[[#This Row],[Attrition]]="Yes",1,0)</f>
        <v>0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3">
      <c r="A944">
        <v>36</v>
      </c>
      <c r="B944" t="s">
        <v>43</v>
      </c>
      <c r="C944">
        <f>IF(HR_analytics[[#This Row],[Attrition]]="Yes",1,0)</f>
        <v>0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3">
      <c r="A945">
        <v>46</v>
      </c>
      <c r="B945" t="s">
        <v>43</v>
      </c>
      <c r="C945">
        <f>IF(HR_analytics[[#This Row],[Attrition]]="Yes",1,0)</f>
        <v>0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3">
      <c r="A946">
        <v>28</v>
      </c>
      <c r="B946" t="s">
        <v>43</v>
      </c>
      <c r="C946">
        <f>IF(HR_analytics[[#This Row],[Attrition]]="Yes",1,0)</f>
        <v>0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3">
      <c r="A947">
        <v>50</v>
      </c>
      <c r="B947" t="s">
        <v>43</v>
      </c>
      <c r="C947">
        <f>IF(HR_analytics[[#This Row],[Attrition]]="Yes",1,0)</f>
        <v>0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3">
      <c r="A948">
        <v>40</v>
      </c>
      <c r="B948" t="s">
        <v>35</v>
      </c>
      <c r="C948">
        <f>IF(HR_analytics[[#This Row],[Attrition]]="Yes",1,0)</f>
        <v>1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3">
      <c r="A949">
        <v>52</v>
      </c>
      <c r="B949" t="s">
        <v>35</v>
      </c>
      <c r="C949">
        <f>IF(HR_analytics[[#This Row],[Attrition]]="Yes",1,0)</f>
        <v>1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3">
      <c r="A950">
        <v>30</v>
      </c>
      <c r="B950" t="s">
        <v>43</v>
      </c>
      <c r="C950">
        <f>IF(HR_analytics[[#This Row],[Attrition]]="Yes",1,0)</f>
        <v>0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3">
      <c r="A951">
        <v>39</v>
      </c>
      <c r="B951" t="s">
        <v>43</v>
      </c>
      <c r="C951">
        <f>IF(HR_analytics[[#This Row],[Attrition]]="Yes",1,0)</f>
        <v>0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3">
      <c r="A952">
        <v>31</v>
      </c>
      <c r="B952" t="s">
        <v>43</v>
      </c>
      <c r="C952">
        <f>IF(HR_analytics[[#This Row],[Attrition]]="Yes",1,0)</f>
        <v>0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3">
      <c r="A953">
        <v>41</v>
      </c>
      <c r="B953" t="s">
        <v>43</v>
      </c>
      <c r="C953">
        <f>IF(HR_analytics[[#This Row],[Attrition]]="Yes",1,0)</f>
        <v>0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3">
      <c r="A954">
        <v>31</v>
      </c>
      <c r="B954" t="s">
        <v>35</v>
      </c>
      <c r="C954">
        <f>IF(HR_analytics[[#This Row],[Attrition]]="Yes",1,0)</f>
        <v>1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3">
      <c r="A955">
        <v>44</v>
      </c>
      <c r="B955" t="s">
        <v>35</v>
      </c>
      <c r="C955">
        <f>IF(HR_analytics[[#This Row],[Attrition]]="Yes",1,0)</f>
        <v>1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3">
      <c r="A956">
        <v>42</v>
      </c>
      <c r="B956" t="s">
        <v>43</v>
      </c>
      <c r="C956">
        <f>IF(HR_analytics[[#This Row],[Attrition]]="Yes",1,0)</f>
        <v>0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3">
      <c r="A957">
        <v>55</v>
      </c>
      <c r="B957" t="s">
        <v>43</v>
      </c>
      <c r="C957">
        <f>IF(HR_analytics[[#This Row],[Attrition]]="Yes",1,0)</f>
        <v>0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3">
      <c r="A958">
        <v>56</v>
      </c>
      <c r="B958" t="s">
        <v>43</v>
      </c>
      <c r="C958">
        <f>IF(HR_analytics[[#This Row],[Attrition]]="Yes",1,0)</f>
        <v>0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3">
      <c r="A959">
        <v>40</v>
      </c>
      <c r="B959" t="s">
        <v>43</v>
      </c>
      <c r="C959">
        <f>IF(HR_analytics[[#This Row],[Attrition]]="Yes",1,0)</f>
        <v>0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3">
      <c r="A960">
        <v>34</v>
      </c>
      <c r="B960" t="s">
        <v>43</v>
      </c>
      <c r="C960">
        <f>IF(HR_analytics[[#This Row],[Attrition]]="Yes",1,0)</f>
        <v>0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3">
      <c r="A961">
        <v>40</v>
      </c>
      <c r="B961" t="s">
        <v>43</v>
      </c>
      <c r="C961">
        <f>IF(HR_analytics[[#This Row],[Attrition]]="Yes",1,0)</f>
        <v>0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3">
      <c r="A962">
        <v>41</v>
      </c>
      <c r="B962" t="s">
        <v>43</v>
      </c>
      <c r="C962">
        <f>IF(HR_analytics[[#This Row],[Attrition]]="Yes",1,0)</f>
        <v>0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3">
      <c r="A963">
        <v>35</v>
      </c>
      <c r="B963" t="s">
        <v>43</v>
      </c>
      <c r="C963">
        <f>IF(HR_analytics[[#This Row],[Attrition]]="Yes",1,0)</f>
        <v>0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3">
      <c r="A964">
        <v>51</v>
      </c>
      <c r="B964" t="s">
        <v>43</v>
      </c>
      <c r="C964">
        <f>IF(HR_analytics[[#This Row],[Attrition]]="Yes",1,0)</f>
        <v>0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3">
      <c r="A965">
        <v>38</v>
      </c>
      <c r="B965" t="s">
        <v>43</v>
      </c>
      <c r="C965">
        <f>IF(HR_analytics[[#This Row],[Attrition]]="Yes",1,0)</f>
        <v>0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3">
      <c r="A966">
        <v>34</v>
      </c>
      <c r="B966" t="s">
        <v>43</v>
      </c>
      <c r="C966">
        <f>IF(HR_analytics[[#This Row],[Attrition]]="Yes",1,0)</f>
        <v>0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3">
      <c r="A967">
        <v>25</v>
      </c>
      <c r="B967" t="s">
        <v>43</v>
      </c>
      <c r="C967">
        <f>IF(HR_analytics[[#This Row],[Attrition]]="Yes",1,0)</f>
        <v>0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3">
      <c r="A968">
        <v>58</v>
      </c>
      <c r="B968" t="s">
        <v>35</v>
      </c>
      <c r="C968">
        <f>IF(HR_analytics[[#This Row],[Attrition]]="Yes",1,0)</f>
        <v>1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3">
      <c r="A969">
        <v>40</v>
      </c>
      <c r="B969" t="s">
        <v>43</v>
      </c>
      <c r="C969">
        <f>IF(HR_analytics[[#This Row],[Attrition]]="Yes",1,0)</f>
        <v>0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3">
      <c r="A970">
        <v>36</v>
      </c>
      <c r="B970" t="s">
        <v>43</v>
      </c>
      <c r="C970">
        <f>IF(HR_analytics[[#This Row],[Attrition]]="Yes",1,0)</f>
        <v>0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3">
      <c r="A971">
        <v>48</v>
      </c>
      <c r="B971" t="s">
        <v>43</v>
      </c>
      <c r="C971">
        <f>IF(HR_analytics[[#This Row],[Attrition]]="Yes",1,0)</f>
        <v>0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3">
      <c r="A972">
        <v>27</v>
      </c>
      <c r="B972" t="s">
        <v>43</v>
      </c>
      <c r="C972">
        <f>IF(HR_analytics[[#This Row],[Attrition]]="Yes",1,0)</f>
        <v>0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t="s">
        <v>43</v>
      </c>
      <c r="C973">
        <f>IF(HR_analytics[[#This Row],[Attrition]]="Yes",1,0)</f>
        <v>0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3">
      <c r="A974">
        <v>18</v>
      </c>
      <c r="B974" t="s">
        <v>43</v>
      </c>
      <c r="C974">
        <f>IF(HR_analytics[[#This Row],[Attrition]]="Yes",1,0)</f>
        <v>0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t="s">
        <v>43</v>
      </c>
      <c r="C975">
        <f>IF(HR_analytics[[#This Row],[Attrition]]="Yes",1,0)</f>
        <v>0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3">
      <c r="A976">
        <v>27</v>
      </c>
      <c r="B976" t="s">
        <v>43</v>
      </c>
      <c r="C976">
        <f>IF(HR_analytics[[#This Row],[Attrition]]="Yes",1,0)</f>
        <v>0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3">
      <c r="A977">
        <v>55</v>
      </c>
      <c r="B977" t="s">
        <v>35</v>
      </c>
      <c r="C977">
        <f>IF(HR_analytics[[#This Row],[Attrition]]="Yes",1,0)</f>
        <v>1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3">
      <c r="A978">
        <v>56</v>
      </c>
      <c r="B978" t="s">
        <v>43</v>
      </c>
      <c r="C978">
        <f>IF(HR_analytics[[#This Row],[Attrition]]="Yes",1,0)</f>
        <v>0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3">
      <c r="A979">
        <v>34</v>
      </c>
      <c r="B979" t="s">
        <v>43</v>
      </c>
      <c r="C979">
        <f>IF(HR_analytics[[#This Row],[Attrition]]="Yes",1,0)</f>
        <v>0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3">
      <c r="A980">
        <v>40</v>
      </c>
      <c r="B980" t="s">
        <v>43</v>
      </c>
      <c r="C980">
        <f>IF(HR_analytics[[#This Row],[Attrition]]="Yes",1,0)</f>
        <v>0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3">
      <c r="A981">
        <v>34</v>
      </c>
      <c r="B981" t="s">
        <v>43</v>
      </c>
      <c r="C981">
        <f>IF(HR_analytics[[#This Row],[Attrition]]="Yes",1,0)</f>
        <v>0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3">
      <c r="A982">
        <v>31</v>
      </c>
      <c r="B982" t="s">
        <v>35</v>
      </c>
      <c r="C982">
        <f>IF(HR_analytics[[#This Row],[Attrition]]="Yes",1,0)</f>
        <v>1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3">
      <c r="A983">
        <v>35</v>
      </c>
      <c r="B983" t="s">
        <v>35</v>
      </c>
      <c r="C983">
        <f>IF(HR_analytics[[#This Row],[Attrition]]="Yes",1,0)</f>
        <v>1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3">
      <c r="A984">
        <v>38</v>
      </c>
      <c r="B984" t="s">
        <v>43</v>
      </c>
      <c r="C984">
        <f>IF(HR_analytics[[#This Row],[Attrition]]="Yes",1,0)</f>
        <v>0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3">
      <c r="A985">
        <v>34</v>
      </c>
      <c r="B985" t="s">
        <v>43</v>
      </c>
      <c r="C985">
        <f>IF(HR_analytics[[#This Row],[Attrition]]="Yes",1,0)</f>
        <v>0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3">
      <c r="A986">
        <v>28</v>
      </c>
      <c r="B986" t="s">
        <v>43</v>
      </c>
      <c r="C986">
        <f>IF(HR_analytics[[#This Row],[Attrition]]="Yes",1,0)</f>
        <v>0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3">
      <c r="A987">
        <v>31</v>
      </c>
      <c r="B987" t="s">
        <v>35</v>
      </c>
      <c r="C987">
        <f>IF(HR_analytics[[#This Row],[Attrition]]="Yes",1,0)</f>
        <v>1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3">
      <c r="A988">
        <v>39</v>
      </c>
      <c r="B988" t="s">
        <v>43</v>
      </c>
      <c r="C988">
        <f>IF(HR_analytics[[#This Row],[Attrition]]="Yes",1,0)</f>
        <v>0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3">
      <c r="A989">
        <v>51</v>
      </c>
      <c r="B989" t="s">
        <v>43</v>
      </c>
      <c r="C989">
        <f>IF(HR_analytics[[#This Row],[Attrition]]="Yes",1,0)</f>
        <v>0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3">
      <c r="A990">
        <v>41</v>
      </c>
      <c r="B990" t="s">
        <v>43</v>
      </c>
      <c r="C990">
        <f>IF(HR_analytics[[#This Row],[Attrition]]="Yes",1,0)</f>
        <v>0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3">
      <c r="A991">
        <v>37</v>
      </c>
      <c r="B991" t="s">
        <v>43</v>
      </c>
      <c r="C991">
        <f>IF(HR_analytics[[#This Row],[Attrition]]="Yes",1,0)</f>
        <v>0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3">
      <c r="A992">
        <v>33</v>
      </c>
      <c r="B992" t="s">
        <v>43</v>
      </c>
      <c r="C992">
        <f>IF(HR_analytics[[#This Row],[Attrition]]="Yes",1,0)</f>
        <v>0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3">
      <c r="A993">
        <v>32</v>
      </c>
      <c r="B993" t="s">
        <v>43</v>
      </c>
      <c r="C993">
        <f>IF(HR_analytics[[#This Row],[Attrition]]="Yes",1,0)</f>
        <v>0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3">
      <c r="A994">
        <v>39</v>
      </c>
      <c r="B994" t="s">
        <v>43</v>
      </c>
      <c r="C994">
        <f>IF(HR_analytics[[#This Row],[Attrition]]="Yes",1,0)</f>
        <v>0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3">
      <c r="A995">
        <v>25</v>
      </c>
      <c r="B995" t="s">
        <v>43</v>
      </c>
      <c r="C995">
        <f>IF(HR_analytics[[#This Row],[Attrition]]="Yes",1,0)</f>
        <v>0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3">
      <c r="A996">
        <v>52</v>
      </c>
      <c r="B996" t="s">
        <v>43</v>
      </c>
      <c r="C996">
        <f>IF(HR_analytics[[#This Row],[Attrition]]="Yes",1,0)</f>
        <v>0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3">
      <c r="A997">
        <v>43</v>
      </c>
      <c r="B997" t="s">
        <v>43</v>
      </c>
      <c r="C997">
        <f>IF(HR_analytics[[#This Row],[Attrition]]="Yes",1,0)</f>
        <v>0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3">
      <c r="A998">
        <v>27</v>
      </c>
      <c r="B998" t="s">
        <v>43</v>
      </c>
      <c r="C998">
        <f>IF(HR_analytics[[#This Row],[Attrition]]="Yes",1,0)</f>
        <v>0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3">
      <c r="A999">
        <v>27</v>
      </c>
      <c r="B999" t="s">
        <v>35</v>
      </c>
      <c r="C999">
        <f>IF(HR_analytics[[#This Row],[Attrition]]="Yes",1,0)</f>
        <v>1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3">
      <c r="A1000">
        <v>26</v>
      </c>
      <c r="B1000" t="s">
        <v>43</v>
      </c>
      <c r="C1000">
        <f>IF(HR_analytics[[#This Row],[Attrition]]="Yes",1,0)</f>
        <v>0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3">
      <c r="A1001">
        <v>42</v>
      </c>
      <c r="B1001" t="s">
        <v>43</v>
      </c>
      <c r="C1001">
        <f>IF(HR_analytics[[#This Row],[Attrition]]="Yes",1,0)</f>
        <v>0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3">
      <c r="A1002">
        <v>52</v>
      </c>
      <c r="B1002" t="s">
        <v>43</v>
      </c>
      <c r="C1002">
        <f>IF(HR_analytics[[#This Row],[Attrition]]="Yes",1,0)</f>
        <v>0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3">
      <c r="A1003">
        <v>37</v>
      </c>
      <c r="B1003" t="s">
        <v>43</v>
      </c>
      <c r="C1003">
        <f>IF(HR_analytics[[#This Row],[Attrition]]="Yes",1,0)</f>
        <v>0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3">
      <c r="A1004">
        <v>35</v>
      </c>
      <c r="B1004" t="s">
        <v>43</v>
      </c>
      <c r="C1004">
        <f>IF(HR_analytics[[#This Row],[Attrition]]="Yes",1,0)</f>
        <v>0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3">
      <c r="A1005">
        <v>25</v>
      </c>
      <c r="B1005" t="s">
        <v>43</v>
      </c>
      <c r="C1005">
        <f>IF(HR_analytics[[#This Row],[Attrition]]="Yes",1,0)</f>
        <v>0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3">
      <c r="A1006">
        <v>26</v>
      </c>
      <c r="B1006" t="s">
        <v>43</v>
      </c>
      <c r="C1006">
        <f>IF(HR_analytics[[#This Row],[Attrition]]="Yes",1,0)</f>
        <v>0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3">
      <c r="A1007">
        <v>29</v>
      </c>
      <c r="B1007" t="s">
        <v>43</v>
      </c>
      <c r="C1007">
        <f>IF(HR_analytics[[#This Row],[Attrition]]="Yes",1,0)</f>
        <v>0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3">
      <c r="A1008">
        <v>49</v>
      </c>
      <c r="B1008" t="s">
        <v>35</v>
      </c>
      <c r="C1008">
        <f>IF(HR_analytics[[#This Row],[Attrition]]="Yes",1,0)</f>
        <v>1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3">
      <c r="A1009">
        <v>29</v>
      </c>
      <c r="B1009" t="s">
        <v>35</v>
      </c>
      <c r="C1009">
        <f>IF(HR_analytics[[#This Row],[Attrition]]="Yes",1,0)</f>
        <v>1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3">
      <c r="A1010">
        <v>54</v>
      </c>
      <c r="B1010" t="s">
        <v>43</v>
      </c>
      <c r="C1010">
        <f>IF(HR_analytics[[#This Row],[Attrition]]="Yes",1,0)</f>
        <v>0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3">
      <c r="A1011">
        <v>58</v>
      </c>
      <c r="B1011" t="s">
        <v>43</v>
      </c>
      <c r="C1011">
        <f>IF(HR_analytics[[#This Row],[Attrition]]="Yes",1,0)</f>
        <v>0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3">
      <c r="A1012">
        <v>55</v>
      </c>
      <c r="B1012" t="s">
        <v>43</v>
      </c>
      <c r="C1012">
        <f>IF(HR_analytics[[#This Row],[Attrition]]="Yes",1,0)</f>
        <v>0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3">
      <c r="A1013">
        <v>36</v>
      </c>
      <c r="B1013" t="s">
        <v>43</v>
      </c>
      <c r="C1013">
        <f>IF(HR_analytics[[#This Row],[Attrition]]="Yes",1,0)</f>
        <v>0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3">
      <c r="A1014">
        <v>31</v>
      </c>
      <c r="B1014" t="s">
        <v>35</v>
      </c>
      <c r="C1014">
        <f>IF(HR_analytics[[#This Row],[Attrition]]="Yes",1,0)</f>
        <v>1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3">
      <c r="A1015">
        <v>30</v>
      </c>
      <c r="B1015" t="s">
        <v>43</v>
      </c>
      <c r="C1015">
        <f>IF(HR_analytics[[#This Row],[Attrition]]="Yes",1,0)</f>
        <v>0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3">
      <c r="A1016">
        <v>31</v>
      </c>
      <c r="B1016" t="s">
        <v>43</v>
      </c>
      <c r="C1016">
        <f>IF(HR_analytics[[#This Row],[Attrition]]="Yes",1,0)</f>
        <v>0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3">
      <c r="A1017">
        <v>34</v>
      </c>
      <c r="B1017" t="s">
        <v>43</v>
      </c>
      <c r="C1017">
        <f>IF(HR_analytics[[#This Row],[Attrition]]="Yes",1,0)</f>
        <v>0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3">
      <c r="A1018">
        <v>31</v>
      </c>
      <c r="B1018" t="s">
        <v>35</v>
      </c>
      <c r="C1018">
        <f>IF(HR_analytics[[#This Row],[Attrition]]="Yes",1,0)</f>
        <v>1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3">
      <c r="A1019">
        <v>27</v>
      </c>
      <c r="B1019" t="s">
        <v>43</v>
      </c>
      <c r="C1019">
        <f>IF(HR_analytics[[#This Row],[Attrition]]="Yes",1,0)</f>
        <v>0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3">
      <c r="A1020">
        <v>36</v>
      </c>
      <c r="B1020" t="s">
        <v>43</v>
      </c>
      <c r="C1020">
        <f>IF(HR_analytics[[#This Row],[Attrition]]="Yes",1,0)</f>
        <v>0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3">
      <c r="A1021">
        <v>36</v>
      </c>
      <c r="B1021" t="s">
        <v>43</v>
      </c>
      <c r="C1021">
        <f>IF(HR_analytics[[#This Row],[Attrition]]="Yes",1,0)</f>
        <v>0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3">
      <c r="A1022">
        <v>47</v>
      </c>
      <c r="B1022" t="s">
        <v>43</v>
      </c>
      <c r="C1022">
        <f>IF(HR_analytics[[#This Row],[Attrition]]="Yes",1,0)</f>
        <v>0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3">
      <c r="A1023">
        <v>25</v>
      </c>
      <c r="B1023" t="s">
        <v>35</v>
      </c>
      <c r="C1023">
        <f>IF(HR_analytics[[#This Row],[Attrition]]="Yes",1,0)</f>
        <v>1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3">
      <c r="A1024">
        <v>37</v>
      </c>
      <c r="B1024" t="s">
        <v>43</v>
      </c>
      <c r="C1024">
        <f>IF(HR_analytics[[#This Row],[Attrition]]="Yes",1,0)</f>
        <v>0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3">
      <c r="A1025">
        <v>56</v>
      </c>
      <c r="B1025" t="s">
        <v>43</v>
      </c>
      <c r="C1025">
        <f>IF(HR_analytics[[#This Row],[Attrition]]="Yes",1,0)</f>
        <v>0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3">
      <c r="A1026">
        <v>47</v>
      </c>
      <c r="B1026" t="s">
        <v>43</v>
      </c>
      <c r="C1026">
        <f>IF(HR_analytics[[#This Row],[Attrition]]="Yes",1,0)</f>
        <v>0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3">
      <c r="A1027">
        <v>24</v>
      </c>
      <c r="B1027" t="s">
        <v>43</v>
      </c>
      <c r="C1027">
        <f>IF(HR_analytics[[#This Row],[Attrition]]="Yes",1,0)</f>
        <v>0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3">
      <c r="A1028">
        <v>32</v>
      </c>
      <c r="B1028" t="s">
        <v>43</v>
      </c>
      <c r="C1028">
        <f>IF(HR_analytics[[#This Row],[Attrition]]="Yes",1,0)</f>
        <v>0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3">
      <c r="A1029">
        <v>34</v>
      </c>
      <c r="B1029" t="s">
        <v>43</v>
      </c>
      <c r="C1029">
        <f>IF(HR_analytics[[#This Row],[Attrition]]="Yes",1,0)</f>
        <v>0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3">
      <c r="A1030">
        <v>41</v>
      </c>
      <c r="B1030" t="s">
        <v>43</v>
      </c>
      <c r="C1030">
        <f>IF(HR_analytics[[#This Row],[Attrition]]="Yes",1,0)</f>
        <v>0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3">
      <c r="A1031">
        <v>40</v>
      </c>
      <c r="B1031" t="s">
        <v>43</v>
      </c>
      <c r="C1031">
        <f>IF(HR_analytics[[#This Row],[Attrition]]="Yes",1,0)</f>
        <v>0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3">
      <c r="A1032">
        <v>31</v>
      </c>
      <c r="B1032" t="s">
        <v>43</v>
      </c>
      <c r="C1032">
        <f>IF(HR_analytics[[#This Row],[Attrition]]="Yes",1,0)</f>
        <v>0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3">
      <c r="A1033">
        <v>46</v>
      </c>
      <c r="B1033" t="s">
        <v>35</v>
      </c>
      <c r="C1033">
        <f>IF(HR_analytics[[#This Row],[Attrition]]="Yes",1,0)</f>
        <v>1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3">
      <c r="A1034">
        <v>39</v>
      </c>
      <c r="B1034" t="s">
        <v>35</v>
      </c>
      <c r="C1034">
        <f>IF(HR_analytics[[#This Row],[Attrition]]="Yes",1,0)</f>
        <v>1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3">
      <c r="A1035">
        <v>31</v>
      </c>
      <c r="B1035" t="s">
        <v>35</v>
      </c>
      <c r="C1035">
        <f>IF(HR_analytics[[#This Row],[Attrition]]="Yes",1,0)</f>
        <v>1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3">
      <c r="A1036">
        <v>45</v>
      </c>
      <c r="B1036" t="s">
        <v>43</v>
      </c>
      <c r="C1036">
        <f>IF(HR_analytics[[#This Row],[Attrition]]="Yes",1,0)</f>
        <v>0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3">
      <c r="A1037">
        <v>31</v>
      </c>
      <c r="B1037" t="s">
        <v>43</v>
      </c>
      <c r="C1037">
        <f>IF(HR_analytics[[#This Row],[Attrition]]="Yes",1,0)</f>
        <v>0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3">
      <c r="A1038">
        <v>31</v>
      </c>
      <c r="B1038" t="s">
        <v>35</v>
      </c>
      <c r="C1038">
        <f>IF(HR_analytics[[#This Row],[Attrition]]="Yes",1,0)</f>
        <v>1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3">
      <c r="A1039">
        <v>45</v>
      </c>
      <c r="B1039" t="s">
        <v>43</v>
      </c>
      <c r="C1039">
        <f>IF(HR_analytics[[#This Row],[Attrition]]="Yes",1,0)</f>
        <v>0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3">
      <c r="A1040">
        <v>48</v>
      </c>
      <c r="B1040" t="s">
        <v>43</v>
      </c>
      <c r="C1040">
        <f>IF(HR_analytics[[#This Row],[Attrition]]="Yes",1,0)</f>
        <v>0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3">
      <c r="A1041">
        <v>34</v>
      </c>
      <c r="B1041" t="s">
        <v>35</v>
      </c>
      <c r="C1041">
        <f>IF(HR_analytics[[#This Row],[Attrition]]="Yes",1,0)</f>
        <v>1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3">
      <c r="A1042">
        <v>40</v>
      </c>
      <c r="B1042" t="s">
        <v>43</v>
      </c>
      <c r="C1042">
        <f>IF(HR_analytics[[#This Row],[Attrition]]="Yes",1,0)</f>
        <v>0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3">
      <c r="A1043">
        <v>28</v>
      </c>
      <c r="B1043" t="s">
        <v>43</v>
      </c>
      <c r="C1043">
        <f>IF(HR_analytics[[#This Row],[Attrition]]="Yes",1,0)</f>
        <v>0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3">
      <c r="A1044">
        <v>44</v>
      </c>
      <c r="B1044" t="s">
        <v>43</v>
      </c>
      <c r="C1044">
        <f>IF(HR_analytics[[#This Row],[Attrition]]="Yes",1,0)</f>
        <v>0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3">
      <c r="A1045">
        <v>53</v>
      </c>
      <c r="B1045" t="s">
        <v>43</v>
      </c>
      <c r="C1045">
        <f>IF(HR_analytics[[#This Row],[Attrition]]="Yes",1,0)</f>
        <v>0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3">
      <c r="A1046">
        <v>49</v>
      </c>
      <c r="B1046" t="s">
        <v>43</v>
      </c>
      <c r="C1046">
        <f>IF(HR_analytics[[#This Row],[Attrition]]="Yes",1,0)</f>
        <v>0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3">
      <c r="A1047">
        <v>40</v>
      </c>
      <c r="B1047" t="s">
        <v>43</v>
      </c>
      <c r="C1047">
        <f>IF(HR_analytics[[#This Row],[Attrition]]="Yes",1,0)</f>
        <v>0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3">
      <c r="A1048">
        <v>44</v>
      </c>
      <c r="B1048" t="s">
        <v>43</v>
      </c>
      <c r="C1048">
        <f>IF(HR_analytics[[#This Row],[Attrition]]="Yes",1,0)</f>
        <v>0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3">
      <c r="A1049">
        <v>33</v>
      </c>
      <c r="B1049" t="s">
        <v>43</v>
      </c>
      <c r="C1049">
        <f>IF(HR_analytics[[#This Row],[Attrition]]="Yes",1,0)</f>
        <v>0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3">
      <c r="A1050">
        <v>34</v>
      </c>
      <c r="B1050" t="s">
        <v>43</v>
      </c>
      <c r="C1050">
        <f>IF(HR_analytics[[#This Row],[Attrition]]="Yes",1,0)</f>
        <v>0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3">
      <c r="A1051">
        <v>30</v>
      </c>
      <c r="B1051" t="s">
        <v>43</v>
      </c>
      <c r="C1051">
        <f>IF(HR_analytics[[#This Row],[Attrition]]="Yes",1,0)</f>
        <v>0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3">
      <c r="A1052">
        <v>42</v>
      </c>
      <c r="B1052" t="s">
        <v>43</v>
      </c>
      <c r="C1052">
        <f>IF(HR_analytics[[#This Row],[Attrition]]="Yes",1,0)</f>
        <v>0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3">
      <c r="A1053">
        <v>44</v>
      </c>
      <c r="B1053" t="s">
        <v>43</v>
      </c>
      <c r="C1053">
        <f>IF(HR_analytics[[#This Row],[Attrition]]="Yes",1,0)</f>
        <v>0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t="s">
        <v>43</v>
      </c>
      <c r="C1054">
        <f>IF(HR_analytics[[#This Row],[Attrition]]="Yes",1,0)</f>
        <v>0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t="s">
        <v>43</v>
      </c>
      <c r="C1055">
        <f>IF(HR_analytics[[#This Row],[Attrition]]="Yes",1,0)</f>
        <v>0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3">
      <c r="A1056">
        <v>49</v>
      </c>
      <c r="B1056" t="s">
        <v>43</v>
      </c>
      <c r="C1056">
        <f>IF(HR_analytics[[#This Row],[Attrition]]="Yes",1,0)</f>
        <v>0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3">
      <c r="A1057">
        <v>34</v>
      </c>
      <c r="B1057" t="s">
        <v>43</v>
      </c>
      <c r="C1057">
        <f>IF(HR_analytics[[#This Row],[Attrition]]="Yes",1,0)</f>
        <v>0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3">
      <c r="A1058">
        <v>28</v>
      </c>
      <c r="B1058" t="s">
        <v>35</v>
      </c>
      <c r="C1058">
        <f>IF(HR_analytics[[#This Row],[Attrition]]="Yes",1,0)</f>
        <v>1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3">
      <c r="A1059">
        <v>29</v>
      </c>
      <c r="B1059" t="s">
        <v>35</v>
      </c>
      <c r="C1059">
        <f>IF(HR_analytics[[#This Row],[Attrition]]="Yes",1,0)</f>
        <v>1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3">
      <c r="A1060">
        <v>34</v>
      </c>
      <c r="B1060" t="s">
        <v>35</v>
      </c>
      <c r="C1060">
        <f>IF(HR_analytics[[#This Row],[Attrition]]="Yes",1,0)</f>
        <v>1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3">
      <c r="A1061">
        <v>35</v>
      </c>
      <c r="B1061" t="s">
        <v>43</v>
      </c>
      <c r="C1061">
        <f>IF(HR_analytics[[#This Row],[Attrition]]="Yes",1,0)</f>
        <v>0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t="s">
        <v>35</v>
      </c>
      <c r="C1062">
        <f>IF(HR_analytics[[#This Row],[Attrition]]="Yes",1,0)</f>
        <v>1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24</v>
      </c>
      <c r="B1063" t="s">
        <v>43</v>
      </c>
      <c r="C1063">
        <f>IF(HR_analytics[[#This Row],[Attrition]]="Yes",1,0)</f>
        <v>0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t="s">
        <v>43</v>
      </c>
      <c r="C1064">
        <f>IF(HR_analytics[[#This Row],[Attrition]]="Yes",1,0)</f>
        <v>0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3">
      <c r="A1065">
        <v>29</v>
      </c>
      <c r="B1065" t="s">
        <v>43</v>
      </c>
      <c r="C1065">
        <f>IF(HR_analytics[[#This Row],[Attrition]]="Yes",1,0)</f>
        <v>0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3">
      <c r="A1066">
        <v>30</v>
      </c>
      <c r="B1066" t="s">
        <v>43</v>
      </c>
      <c r="C1066">
        <f>IF(HR_analytics[[#This Row],[Attrition]]="Yes",1,0)</f>
        <v>0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3">
      <c r="A1067">
        <v>55</v>
      </c>
      <c r="B1067" t="s">
        <v>43</v>
      </c>
      <c r="C1067">
        <f>IF(HR_analytics[[#This Row],[Attrition]]="Yes",1,0)</f>
        <v>0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3">
      <c r="A1068">
        <v>33</v>
      </c>
      <c r="B1068" t="s">
        <v>43</v>
      </c>
      <c r="C1068">
        <f>IF(HR_analytics[[#This Row],[Attrition]]="Yes",1,0)</f>
        <v>0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3">
      <c r="A1069">
        <v>47</v>
      </c>
      <c r="B1069" t="s">
        <v>43</v>
      </c>
      <c r="C1069">
        <f>IF(HR_analytics[[#This Row],[Attrition]]="Yes",1,0)</f>
        <v>0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3">
      <c r="A1070">
        <v>28</v>
      </c>
      <c r="B1070" t="s">
        <v>35</v>
      </c>
      <c r="C1070">
        <f>IF(HR_analytics[[#This Row],[Attrition]]="Yes",1,0)</f>
        <v>1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>
        <v>28</v>
      </c>
      <c r="B1071" t="s">
        <v>43</v>
      </c>
      <c r="C1071">
        <f>IF(HR_analytics[[#This Row],[Attrition]]="Yes",1,0)</f>
        <v>0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t="s">
        <v>43</v>
      </c>
      <c r="C1072">
        <f>IF(HR_analytics[[#This Row],[Attrition]]="Yes",1,0)</f>
        <v>0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3">
      <c r="A1073">
        <v>49</v>
      </c>
      <c r="B1073" t="s">
        <v>43</v>
      </c>
      <c r="C1073">
        <f>IF(HR_analytics[[#This Row],[Attrition]]="Yes",1,0)</f>
        <v>0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3">
      <c r="A1074">
        <v>29</v>
      </c>
      <c r="B1074" t="s">
        <v>43</v>
      </c>
      <c r="C1074">
        <f>IF(HR_analytics[[#This Row],[Attrition]]="Yes",1,0)</f>
        <v>0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3">
      <c r="A1075">
        <v>28</v>
      </c>
      <c r="B1075" t="s">
        <v>43</v>
      </c>
      <c r="C1075">
        <f>IF(HR_analytics[[#This Row],[Attrition]]="Yes",1,0)</f>
        <v>0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3">
      <c r="A1076">
        <v>33</v>
      </c>
      <c r="B1076" t="s">
        <v>43</v>
      </c>
      <c r="C1076">
        <f>IF(HR_analytics[[#This Row],[Attrition]]="Yes",1,0)</f>
        <v>0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t="s">
        <v>43</v>
      </c>
      <c r="C1077">
        <f>IF(HR_analytics[[#This Row],[Attrition]]="Yes",1,0)</f>
        <v>0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3">
      <c r="A1078">
        <v>54</v>
      </c>
      <c r="B1078" t="s">
        <v>43</v>
      </c>
      <c r="C1078">
        <f>IF(HR_analytics[[#This Row],[Attrition]]="Yes",1,0)</f>
        <v>0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3">
      <c r="A1079">
        <v>29</v>
      </c>
      <c r="B1079" t="s">
        <v>35</v>
      </c>
      <c r="C1079">
        <f>IF(HR_analytics[[#This Row],[Attrition]]="Yes",1,0)</f>
        <v>1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3">
      <c r="A1080">
        <v>44</v>
      </c>
      <c r="B1080" t="s">
        <v>43</v>
      </c>
      <c r="C1080">
        <f>IF(HR_analytics[[#This Row],[Attrition]]="Yes",1,0)</f>
        <v>0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3">
      <c r="A1081">
        <v>39</v>
      </c>
      <c r="B1081" t="s">
        <v>43</v>
      </c>
      <c r="C1081">
        <f>IF(HR_analytics[[#This Row],[Attrition]]="Yes",1,0)</f>
        <v>0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3">
      <c r="A1082">
        <v>46</v>
      </c>
      <c r="B1082" t="s">
        <v>43</v>
      </c>
      <c r="C1082">
        <f>IF(HR_analytics[[#This Row],[Attrition]]="Yes",1,0)</f>
        <v>0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3">
      <c r="A1083">
        <v>35</v>
      </c>
      <c r="B1083" t="s">
        <v>43</v>
      </c>
      <c r="C1083">
        <f>IF(HR_analytics[[#This Row],[Attrition]]="Yes",1,0)</f>
        <v>0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3">
      <c r="A1084">
        <v>23</v>
      </c>
      <c r="B1084" t="s">
        <v>43</v>
      </c>
      <c r="C1084">
        <f>IF(HR_analytics[[#This Row],[Attrition]]="Yes",1,0)</f>
        <v>0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3">
      <c r="A1085">
        <v>40</v>
      </c>
      <c r="B1085" t="s">
        <v>35</v>
      </c>
      <c r="C1085">
        <f>IF(HR_analytics[[#This Row],[Attrition]]="Yes",1,0)</f>
        <v>1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3">
      <c r="A1086">
        <v>34</v>
      </c>
      <c r="B1086" t="s">
        <v>43</v>
      </c>
      <c r="C1086">
        <f>IF(HR_analytics[[#This Row],[Attrition]]="Yes",1,0)</f>
        <v>0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3">
      <c r="A1087">
        <v>31</v>
      </c>
      <c r="B1087" t="s">
        <v>35</v>
      </c>
      <c r="C1087">
        <f>IF(HR_analytics[[#This Row],[Attrition]]="Yes",1,0)</f>
        <v>1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3">
      <c r="A1088">
        <v>50</v>
      </c>
      <c r="B1088" t="s">
        <v>43</v>
      </c>
      <c r="C1088">
        <f>IF(HR_analytics[[#This Row],[Attrition]]="Yes",1,0)</f>
        <v>0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3">
      <c r="A1089">
        <v>34</v>
      </c>
      <c r="B1089" t="s">
        <v>43</v>
      </c>
      <c r="C1089">
        <f>IF(HR_analytics[[#This Row],[Attrition]]="Yes",1,0)</f>
        <v>0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3">
      <c r="A1090">
        <v>42</v>
      </c>
      <c r="B1090" t="s">
        <v>43</v>
      </c>
      <c r="C1090">
        <f>IF(HR_analytics[[#This Row],[Attrition]]="Yes",1,0)</f>
        <v>0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t="s">
        <v>43</v>
      </c>
      <c r="C1091">
        <f>IF(HR_analytics[[#This Row],[Attrition]]="Yes",1,0)</f>
        <v>0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3">
      <c r="A1092">
        <v>29</v>
      </c>
      <c r="B1092" t="s">
        <v>43</v>
      </c>
      <c r="C1092">
        <f>IF(HR_analytics[[#This Row],[Attrition]]="Yes",1,0)</f>
        <v>0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3">
      <c r="A1093">
        <v>33</v>
      </c>
      <c r="B1093" t="s">
        <v>43</v>
      </c>
      <c r="C1093">
        <f>IF(HR_analytics[[#This Row],[Attrition]]="Yes",1,0)</f>
        <v>0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3">
      <c r="A1094">
        <v>45</v>
      </c>
      <c r="B1094" t="s">
        <v>43</v>
      </c>
      <c r="C1094">
        <f>IF(HR_analytics[[#This Row],[Attrition]]="Yes",1,0)</f>
        <v>0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3">
      <c r="A1095">
        <v>42</v>
      </c>
      <c r="B1095" t="s">
        <v>43</v>
      </c>
      <c r="C1095">
        <f>IF(HR_analytics[[#This Row],[Attrition]]="Yes",1,0)</f>
        <v>0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3">
      <c r="A1096">
        <v>40</v>
      </c>
      <c r="B1096" t="s">
        <v>43</v>
      </c>
      <c r="C1096">
        <f>IF(HR_analytics[[#This Row],[Attrition]]="Yes",1,0)</f>
        <v>0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3">
      <c r="A1097">
        <v>33</v>
      </c>
      <c r="B1097" t="s">
        <v>43</v>
      </c>
      <c r="C1097">
        <f>IF(HR_analytics[[#This Row],[Attrition]]="Yes",1,0)</f>
        <v>0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3">
      <c r="A1098">
        <v>40</v>
      </c>
      <c r="B1098" t="s">
        <v>43</v>
      </c>
      <c r="C1098">
        <f>IF(HR_analytics[[#This Row],[Attrition]]="Yes",1,0)</f>
        <v>0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3">
      <c r="A1099">
        <v>24</v>
      </c>
      <c r="B1099" t="s">
        <v>43</v>
      </c>
      <c r="C1099">
        <f>IF(HR_analytics[[#This Row],[Attrition]]="Yes",1,0)</f>
        <v>0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3">
      <c r="A1100">
        <v>40</v>
      </c>
      <c r="B1100" t="s">
        <v>43</v>
      </c>
      <c r="C1100">
        <f>IF(HR_analytics[[#This Row],[Attrition]]="Yes",1,0)</f>
        <v>0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3">
      <c r="A1101">
        <v>45</v>
      </c>
      <c r="B1101" t="s">
        <v>43</v>
      </c>
      <c r="C1101">
        <f>IF(HR_analytics[[#This Row],[Attrition]]="Yes",1,0)</f>
        <v>0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3">
      <c r="A1102">
        <v>35</v>
      </c>
      <c r="B1102" t="s">
        <v>43</v>
      </c>
      <c r="C1102">
        <f>IF(HR_analytics[[#This Row],[Attrition]]="Yes",1,0)</f>
        <v>0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3">
      <c r="A1103">
        <v>32</v>
      </c>
      <c r="B1103" t="s">
        <v>43</v>
      </c>
      <c r="C1103">
        <f>IF(HR_analytics[[#This Row],[Attrition]]="Yes",1,0)</f>
        <v>0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3">
      <c r="A1104">
        <v>36</v>
      </c>
      <c r="B1104" t="s">
        <v>43</v>
      </c>
      <c r="C1104">
        <f>IF(HR_analytics[[#This Row],[Attrition]]="Yes",1,0)</f>
        <v>0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3">
      <c r="A1105">
        <v>48</v>
      </c>
      <c r="B1105" t="s">
        <v>43</v>
      </c>
      <c r="C1105">
        <f>IF(HR_analytics[[#This Row],[Attrition]]="Yes",1,0)</f>
        <v>0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3">
      <c r="A1106">
        <v>29</v>
      </c>
      <c r="B1106" t="s">
        <v>43</v>
      </c>
      <c r="C1106">
        <f>IF(HR_analytics[[#This Row],[Attrition]]="Yes",1,0)</f>
        <v>0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t="s">
        <v>43</v>
      </c>
      <c r="C1107">
        <f>IF(HR_analytics[[#This Row],[Attrition]]="Yes",1,0)</f>
        <v>0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3">
      <c r="A1108">
        <v>30</v>
      </c>
      <c r="B1108" t="s">
        <v>35</v>
      </c>
      <c r="C1108">
        <f>IF(HR_analytics[[#This Row],[Attrition]]="Yes",1,0)</f>
        <v>1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3">
      <c r="A1109">
        <v>38</v>
      </c>
      <c r="B1109" t="s">
        <v>43</v>
      </c>
      <c r="C1109">
        <f>IF(HR_analytics[[#This Row],[Attrition]]="Yes",1,0)</f>
        <v>0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3">
      <c r="A1110">
        <v>35</v>
      </c>
      <c r="B1110" t="s">
        <v>43</v>
      </c>
      <c r="C1110">
        <f>IF(HR_analytics[[#This Row],[Attrition]]="Yes",1,0)</f>
        <v>0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3">
      <c r="A1111">
        <v>30</v>
      </c>
      <c r="B1111" t="s">
        <v>43</v>
      </c>
      <c r="C1111">
        <f>IF(HR_analytics[[#This Row],[Attrition]]="Yes",1,0)</f>
        <v>0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3">
      <c r="A1112">
        <v>35</v>
      </c>
      <c r="B1112" t="s">
        <v>35</v>
      </c>
      <c r="C1112">
        <f>IF(HR_analytics[[#This Row],[Attrition]]="Yes",1,0)</f>
        <v>1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3">
      <c r="A1113">
        <v>53</v>
      </c>
      <c r="B1113" t="s">
        <v>35</v>
      </c>
      <c r="C1113">
        <f>IF(HR_analytics[[#This Row],[Attrition]]="Yes",1,0)</f>
        <v>1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3">
      <c r="A1114">
        <v>38</v>
      </c>
      <c r="B1114" t="s">
        <v>35</v>
      </c>
      <c r="C1114">
        <f>IF(HR_analytics[[#This Row],[Attrition]]="Yes",1,0)</f>
        <v>1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3">
      <c r="A1115">
        <v>32</v>
      </c>
      <c r="B1115" t="s">
        <v>43</v>
      </c>
      <c r="C1115">
        <f>IF(HR_analytics[[#This Row],[Attrition]]="Yes",1,0)</f>
        <v>0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3">
      <c r="A1116">
        <v>48</v>
      </c>
      <c r="B1116" t="s">
        <v>43</v>
      </c>
      <c r="C1116">
        <f>IF(HR_analytics[[#This Row],[Attrition]]="Yes",1,0)</f>
        <v>0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3">
      <c r="A1117">
        <v>34</v>
      </c>
      <c r="B1117" t="s">
        <v>43</v>
      </c>
      <c r="C1117">
        <f>IF(HR_analytics[[#This Row],[Attrition]]="Yes",1,0)</f>
        <v>0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t="s">
        <v>43</v>
      </c>
      <c r="C1118">
        <f>IF(HR_analytics[[#This Row],[Attrition]]="Yes",1,0)</f>
        <v>0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3">
      <c r="A1119">
        <v>34</v>
      </c>
      <c r="B1119" t="s">
        <v>43</v>
      </c>
      <c r="C1119">
        <f>IF(HR_analytics[[#This Row],[Attrition]]="Yes",1,0)</f>
        <v>0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3">
      <c r="A1120">
        <v>26</v>
      </c>
      <c r="B1120" t="s">
        <v>43</v>
      </c>
      <c r="C1120">
        <f>IF(HR_analytics[[#This Row],[Attrition]]="Yes",1,0)</f>
        <v>0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t="s">
        <v>43</v>
      </c>
      <c r="C1121">
        <f>IF(HR_analytics[[#This Row],[Attrition]]="Yes",1,0)</f>
        <v>0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3">
      <c r="A1122">
        <v>38</v>
      </c>
      <c r="B1122" t="s">
        <v>43</v>
      </c>
      <c r="C1122">
        <f>IF(HR_analytics[[#This Row],[Attrition]]="Yes",1,0)</f>
        <v>0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3">
      <c r="A1123">
        <v>36</v>
      </c>
      <c r="B1123" t="s">
        <v>43</v>
      </c>
      <c r="C1123">
        <f>IF(HR_analytics[[#This Row],[Attrition]]="Yes",1,0)</f>
        <v>0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t="s">
        <v>43</v>
      </c>
      <c r="C1124">
        <f>IF(HR_analytics[[#This Row],[Attrition]]="Yes",1,0)</f>
        <v>0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3">
      <c r="A1125">
        <v>35</v>
      </c>
      <c r="B1125" t="s">
        <v>43</v>
      </c>
      <c r="C1125">
        <f>IF(HR_analytics[[#This Row],[Attrition]]="Yes",1,0)</f>
        <v>0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3">
      <c r="A1126">
        <v>39</v>
      </c>
      <c r="B1126" t="s">
        <v>43</v>
      </c>
      <c r="C1126">
        <f>IF(HR_analytics[[#This Row],[Attrition]]="Yes",1,0)</f>
        <v>0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3">
      <c r="A1127">
        <v>29</v>
      </c>
      <c r="B1127" t="s">
        <v>43</v>
      </c>
      <c r="C1127">
        <f>IF(HR_analytics[[#This Row],[Attrition]]="Yes",1,0)</f>
        <v>0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3">
      <c r="A1128">
        <v>50</v>
      </c>
      <c r="B1128" t="s">
        <v>43</v>
      </c>
      <c r="C1128">
        <f>IF(HR_analytics[[#This Row],[Attrition]]="Yes",1,0)</f>
        <v>0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t="s">
        <v>43</v>
      </c>
      <c r="C1129">
        <f>IF(HR_analytics[[#This Row],[Attrition]]="Yes",1,0)</f>
        <v>0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3">
      <c r="A1130">
        <v>36</v>
      </c>
      <c r="B1130" t="s">
        <v>43</v>
      </c>
      <c r="C1130">
        <f>IF(HR_analytics[[#This Row],[Attrition]]="Yes",1,0)</f>
        <v>0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3">
      <c r="A1131">
        <v>42</v>
      </c>
      <c r="B1131" t="s">
        <v>43</v>
      </c>
      <c r="C1131">
        <f>IF(HR_analytics[[#This Row],[Attrition]]="Yes",1,0)</f>
        <v>0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3">
      <c r="A1132">
        <v>35</v>
      </c>
      <c r="B1132" t="s">
        <v>43</v>
      </c>
      <c r="C1132">
        <f>IF(HR_analytics[[#This Row],[Attrition]]="Yes",1,0)</f>
        <v>0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3">
      <c r="A1133">
        <v>34</v>
      </c>
      <c r="B1133" t="s">
        <v>43</v>
      </c>
      <c r="C1133">
        <f>IF(HR_analytics[[#This Row],[Attrition]]="Yes",1,0)</f>
        <v>0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3">
      <c r="A1134">
        <v>40</v>
      </c>
      <c r="B1134" t="s">
        <v>43</v>
      </c>
      <c r="C1134">
        <f>IF(HR_analytics[[#This Row],[Attrition]]="Yes",1,0)</f>
        <v>0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3">
      <c r="A1135">
        <v>43</v>
      </c>
      <c r="B1135" t="s">
        <v>43</v>
      </c>
      <c r="C1135">
        <f>IF(HR_analytics[[#This Row],[Attrition]]="Yes",1,0)</f>
        <v>0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3">
      <c r="A1136">
        <v>35</v>
      </c>
      <c r="B1136" t="s">
        <v>43</v>
      </c>
      <c r="C1136">
        <f>IF(HR_analytics[[#This Row],[Attrition]]="Yes",1,0)</f>
        <v>0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3">
      <c r="A1137">
        <v>46</v>
      </c>
      <c r="B1137" t="s">
        <v>43</v>
      </c>
      <c r="C1137">
        <f>IF(HR_analytics[[#This Row],[Attrition]]="Yes",1,0)</f>
        <v>0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3">
      <c r="A1138">
        <v>28</v>
      </c>
      <c r="B1138" t="s">
        <v>35</v>
      </c>
      <c r="C1138">
        <f>IF(HR_analytics[[#This Row],[Attrition]]="Yes",1,0)</f>
        <v>1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3">
      <c r="A1139">
        <v>22</v>
      </c>
      <c r="B1139" t="s">
        <v>43</v>
      </c>
      <c r="C1139">
        <f>IF(HR_analytics[[#This Row],[Attrition]]="Yes",1,0)</f>
        <v>0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3">
      <c r="A1140">
        <v>50</v>
      </c>
      <c r="B1140" t="s">
        <v>43</v>
      </c>
      <c r="C1140">
        <f>IF(HR_analytics[[#This Row],[Attrition]]="Yes",1,0)</f>
        <v>0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3">
      <c r="A1141">
        <v>32</v>
      </c>
      <c r="B1141" t="s">
        <v>43</v>
      </c>
      <c r="C1141">
        <f>IF(HR_analytics[[#This Row],[Attrition]]="Yes",1,0)</f>
        <v>0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3">
      <c r="A1142">
        <v>44</v>
      </c>
      <c r="B1142" t="s">
        <v>43</v>
      </c>
      <c r="C1142">
        <f>IF(HR_analytics[[#This Row],[Attrition]]="Yes",1,0)</f>
        <v>0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3">
      <c r="A1143">
        <v>30</v>
      </c>
      <c r="B1143" t="s">
        <v>43</v>
      </c>
      <c r="C1143">
        <f>IF(HR_analytics[[#This Row],[Attrition]]="Yes",1,0)</f>
        <v>0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3">
      <c r="A1144">
        <v>45</v>
      </c>
      <c r="B1144" t="s">
        <v>43</v>
      </c>
      <c r="C1144">
        <f>IF(HR_analytics[[#This Row],[Attrition]]="Yes",1,0)</f>
        <v>0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3">
      <c r="A1145">
        <v>45</v>
      </c>
      <c r="B1145" t="s">
        <v>43</v>
      </c>
      <c r="C1145">
        <f>IF(HR_analytics[[#This Row],[Attrition]]="Yes",1,0)</f>
        <v>0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3">
      <c r="A1146">
        <v>31</v>
      </c>
      <c r="B1146" t="s">
        <v>43</v>
      </c>
      <c r="C1146">
        <f>IF(HR_analytics[[#This Row],[Attrition]]="Yes",1,0)</f>
        <v>0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3">
      <c r="A1147">
        <v>36</v>
      </c>
      <c r="B1147" t="s">
        <v>43</v>
      </c>
      <c r="C1147">
        <f>IF(HR_analytics[[#This Row],[Attrition]]="Yes",1,0)</f>
        <v>0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3">
      <c r="A1148">
        <v>34</v>
      </c>
      <c r="B1148" t="s">
        <v>43</v>
      </c>
      <c r="C1148">
        <f>IF(HR_analytics[[#This Row],[Attrition]]="Yes",1,0)</f>
        <v>0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3">
      <c r="A1149">
        <v>49</v>
      </c>
      <c r="B1149" t="s">
        <v>43</v>
      </c>
      <c r="C1149">
        <f>IF(HR_analytics[[#This Row],[Attrition]]="Yes",1,0)</f>
        <v>0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3">
      <c r="A1150">
        <v>39</v>
      </c>
      <c r="B1150" t="s">
        <v>43</v>
      </c>
      <c r="C1150">
        <f>IF(HR_analytics[[#This Row],[Attrition]]="Yes",1,0)</f>
        <v>0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3">
      <c r="A1151">
        <v>27</v>
      </c>
      <c r="B1151" t="s">
        <v>43</v>
      </c>
      <c r="C1151">
        <f>IF(HR_analytics[[#This Row],[Attrition]]="Yes",1,0)</f>
        <v>0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3">
      <c r="A1152">
        <v>35</v>
      </c>
      <c r="B1152" t="s">
        <v>43</v>
      </c>
      <c r="C1152">
        <f>IF(HR_analytics[[#This Row],[Attrition]]="Yes",1,0)</f>
        <v>0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3">
      <c r="A1153">
        <v>28</v>
      </c>
      <c r="B1153" t="s">
        <v>43</v>
      </c>
      <c r="C1153">
        <f>IF(HR_analytics[[#This Row],[Attrition]]="Yes",1,0)</f>
        <v>0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3">
      <c r="A1154">
        <v>21</v>
      </c>
      <c r="B1154" t="s">
        <v>43</v>
      </c>
      <c r="C1154">
        <f>IF(HR_analytics[[#This Row],[Attrition]]="Yes",1,0)</f>
        <v>0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3">
      <c r="A1155">
        <v>18</v>
      </c>
      <c r="B1155" t="s">
        <v>35</v>
      </c>
      <c r="C1155">
        <f>IF(HR_analytics[[#This Row],[Attrition]]="Yes",1,0)</f>
        <v>1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>
        <v>47</v>
      </c>
      <c r="B1156" t="s">
        <v>43</v>
      </c>
      <c r="C1156">
        <f>IF(HR_analytics[[#This Row],[Attrition]]="Yes",1,0)</f>
        <v>0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3">
      <c r="A1157">
        <v>39</v>
      </c>
      <c r="B1157" t="s">
        <v>43</v>
      </c>
      <c r="C1157">
        <f>IF(HR_analytics[[#This Row],[Attrition]]="Yes",1,0)</f>
        <v>0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3">
      <c r="A1158">
        <v>40</v>
      </c>
      <c r="B1158" t="s">
        <v>43</v>
      </c>
      <c r="C1158">
        <f>IF(HR_analytics[[#This Row],[Attrition]]="Yes",1,0)</f>
        <v>0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3">
      <c r="A1159">
        <v>35</v>
      </c>
      <c r="B1159" t="s">
        <v>43</v>
      </c>
      <c r="C1159">
        <f>IF(HR_analytics[[#This Row],[Attrition]]="Yes",1,0)</f>
        <v>0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3">
      <c r="A1160">
        <v>37</v>
      </c>
      <c r="B1160" t="s">
        <v>43</v>
      </c>
      <c r="C1160">
        <f>IF(HR_analytics[[#This Row],[Attrition]]="Yes",1,0)</f>
        <v>0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3">
      <c r="A1161">
        <v>39</v>
      </c>
      <c r="B1161" t="s">
        <v>43</v>
      </c>
      <c r="C1161">
        <f>IF(HR_analytics[[#This Row],[Attrition]]="Yes",1,0)</f>
        <v>0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3">
      <c r="A1162">
        <v>45</v>
      </c>
      <c r="B1162" t="s">
        <v>43</v>
      </c>
      <c r="C1162">
        <f>IF(HR_analytics[[#This Row],[Attrition]]="Yes",1,0)</f>
        <v>0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3">
      <c r="A1163">
        <v>38</v>
      </c>
      <c r="B1163" t="s">
        <v>43</v>
      </c>
      <c r="C1163">
        <f>IF(HR_analytics[[#This Row],[Attrition]]="Yes",1,0)</f>
        <v>0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3">
      <c r="A1164">
        <v>35</v>
      </c>
      <c r="B1164" t="s">
        <v>35</v>
      </c>
      <c r="C1164">
        <f>IF(HR_analytics[[#This Row],[Attrition]]="Yes",1,0)</f>
        <v>1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3">
      <c r="A1165">
        <v>37</v>
      </c>
      <c r="B1165" t="s">
        <v>43</v>
      </c>
      <c r="C1165">
        <f>IF(HR_analytics[[#This Row],[Attrition]]="Yes",1,0)</f>
        <v>0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3">
      <c r="A1166">
        <v>40</v>
      </c>
      <c r="B1166" t="s">
        <v>43</v>
      </c>
      <c r="C1166">
        <f>IF(HR_analytics[[#This Row],[Attrition]]="Yes",1,0)</f>
        <v>0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3">
      <c r="A1167">
        <v>44</v>
      </c>
      <c r="B1167" t="s">
        <v>43</v>
      </c>
      <c r="C1167">
        <f>IF(HR_analytics[[#This Row],[Attrition]]="Yes",1,0)</f>
        <v>0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3">
      <c r="A1168">
        <v>48</v>
      </c>
      <c r="B1168" t="s">
        <v>43</v>
      </c>
      <c r="C1168">
        <f>IF(HR_analytics[[#This Row],[Attrition]]="Yes",1,0)</f>
        <v>0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3">
      <c r="A1169">
        <v>35</v>
      </c>
      <c r="B1169" t="s">
        <v>35</v>
      </c>
      <c r="C1169">
        <f>IF(HR_analytics[[#This Row],[Attrition]]="Yes",1,0)</f>
        <v>1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3">
      <c r="A1170">
        <v>24</v>
      </c>
      <c r="B1170" t="s">
        <v>43</v>
      </c>
      <c r="C1170">
        <f>IF(HR_analytics[[#This Row],[Attrition]]="Yes",1,0)</f>
        <v>0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3">
      <c r="A1171">
        <v>27</v>
      </c>
      <c r="B1171" t="s">
        <v>43</v>
      </c>
      <c r="C1171">
        <f>IF(HR_analytics[[#This Row],[Attrition]]="Yes",1,0)</f>
        <v>0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3">
      <c r="A1172">
        <v>27</v>
      </c>
      <c r="B1172" t="s">
        <v>43</v>
      </c>
      <c r="C1172">
        <f>IF(HR_analytics[[#This Row],[Attrition]]="Yes",1,0)</f>
        <v>0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3">
      <c r="A1173">
        <v>40</v>
      </c>
      <c r="B1173" t="s">
        <v>35</v>
      </c>
      <c r="C1173">
        <f>IF(HR_analytics[[#This Row],[Attrition]]="Yes",1,0)</f>
        <v>1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3">
      <c r="A1174">
        <v>29</v>
      </c>
      <c r="B1174" t="s">
        <v>43</v>
      </c>
      <c r="C1174">
        <f>IF(HR_analytics[[#This Row],[Attrition]]="Yes",1,0)</f>
        <v>0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3">
      <c r="A1175">
        <v>36</v>
      </c>
      <c r="B1175" t="s">
        <v>43</v>
      </c>
      <c r="C1175">
        <f>IF(HR_analytics[[#This Row],[Attrition]]="Yes",1,0)</f>
        <v>0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3">
      <c r="A1176">
        <v>25</v>
      </c>
      <c r="B1176" t="s">
        <v>43</v>
      </c>
      <c r="C1176">
        <f>IF(HR_analytics[[#This Row],[Attrition]]="Yes",1,0)</f>
        <v>0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3">
      <c r="A1177">
        <v>39</v>
      </c>
      <c r="B1177" t="s">
        <v>43</v>
      </c>
      <c r="C1177">
        <f>IF(HR_analytics[[#This Row],[Attrition]]="Yes",1,0)</f>
        <v>0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3">
      <c r="A1178">
        <v>49</v>
      </c>
      <c r="B1178" t="s">
        <v>43</v>
      </c>
      <c r="C1178">
        <f>IF(HR_analytics[[#This Row],[Attrition]]="Yes",1,0)</f>
        <v>0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3">
      <c r="A1179">
        <v>50</v>
      </c>
      <c r="B1179" t="s">
        <v>43</v>
      </c>
      <c r="C1179">
        <f>IF(HR_analytics[[#This Row],[Attrition]]="Yes",1,0)</f>
        <v>0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3">
      <c r="A1180">
        <v>20</v>
      </c>
      <c r="B1180" t="s">
        <v>43</v>
      </c>
      <c r="C1180">
        <f>IF(HR_analytics[[#This Row],[Attrition]]="Yes",1,0)</f>
        <v>0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3">
      <c r="A1181">
        <v>34</v>
      </c>
      <c r="B1181" t="s">
        <v>43</v>
      </c>
      <c r="C1181">
        <f>IF(HR_analytics[[#This Row],[Attrition]]="Yes",1,0)</f>
        <v>0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3">
      <c r="A1182">
        <v>36</v>
      </c>
      <c r="B1182" t="s">
        <v>43</v>
      </c>
      <c r="C1182">
        <f>IF(HR_analytics[[#This Row],[Attrition]]="Yes",1,0)</f>
        <v>0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3">
      <c r="A1183">
        <v>49</v>
      </c>
      <c r="B1183" t="s">
        <v>43</v>
      </c>
      <c r="C1183">
        <f>IF(HR_analytics[[#This Row],[Attrition]]="Yes",1,0)</f>
        <v>0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3">
      <c r="A1184">
        <v>36</v>
      </c>
      <c r="B1184" t="s">
        <v>43</v>
      </c>
      <c r="C1184">
        <f>IF(HR_analytics[[#This Row],[Attrition]]="Yes",1,0)</f>
        <v>0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3">
      <c r="A1185">
        <v>36</v>
      </c>
      <c r="B1185" t="s">
        <v>43</v>
      </c>
      <c r="C1185">
        <f>IF(HR_analytics[[#This Row],[Attrition]]="Yes",1,0)</f>
        <v>0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3">
      <c r="A1186">
        <v>54</v>
      </c>
      <c r="B1186" t="s">
        <v>43</v>
      </c>
      <c r="C1186">
        <f>IF(HR_analytics[[#This Row],[Attrition]]="Yes",1,0)</f>
        <v>0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3">
      <c r="A1187">
        <v>43</v>
      </c>
      <c r="B1187" t="s">
        <v>43</v>
      </c>
      <c r="C1187">
        <f>IF(HR_analytics[[#This Row],[Attrition]]="Yes",1,0)</f>
        <v>0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3">
      <c r="A1188">
        <v>35</v>
      </c>
      <c r="B1188" t="s">
        <v>35</v>
      </c>
      <c r="C1188">
        <f>IF(HR_analytics[[#This Row],[Attrition]]="Yes",1,0)</f>
        <v>1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3">
      <c r="A1189">
        <v>38</v>
      </c>
      <c r="B1189" t="s">
        <v>43</v>
      </c>
      <c r="C1189">
        <f>IF(HR_analytics[[#This Row],[Attrition]]="Yes",1,0)</f>
        <v>0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3">
      <c r="A1190">
        <v>29</v>
      </c>
      <c r="B1190" t="s">
        <v>43</v>
      </c>
      <c r="C1190">
        <f>IF(HR_analytics[[#This Row],[Attrition]]="Yes",1,0)</f>
        <v>0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3">
      <c r="A1191">
        <v>33</v>
      </c>
      <c r="B1191" t="s">
        <v>43</v>
      </c>
      <c r="C1191">
        <f>IF(HR_analytics[[#This Row],[Attrition]]="Yes",1,0)</f>
        <v>0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3">
      <c r="A1192">
        <v>32</v>
      </c>
      <c r="B1192" t="s">
        <v>43</v>
      </c>
      <c r="C1192">
        <f>IF(HR_analytics[[#This Row],[Attrition]]="Yes",1,0)</f>
        <v>0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3">
      <c r="A1193">
        <v>31</v>
      </c>
      <c r="B1193" t="s">
        <v>43</v>
      </c>
      <c r="C1193">
        <f>IF(HR_analytics[[#This Row],[Attrition]]="Yes",1,0)</f>
        <v>0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3">
      <c r="A1194">
        <v>49</v>
      </c>
      <c r="B1194" t="s">
        <v>43</v>
      </c>
      <c r="C1194">
        <f>IF(HR_analytics[[#This Row],[Attrition]]="Yes",1,0)</f>
        <v>0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3">
      <c r="A1195">
        <v>38</v>
      </c>
      <c r="B1195" t="s">
        <v>43</v>
      </c>
      <c r="C1195">
        <f>IF(HR_analytics[[#This Row],[Attrition]]="Yes",1,0)</f>
        <v>0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3">
      <c r="A1196">
        <v>47</v>
      </c>
      <c r="B1196" t="s">
        <v>43</v>
      </c>
      <c r="C1196">
        <f>IF(HR_analytics[[#This Row],[Attrition]]="Yes",1,0)</f>
        <v>0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3">
      <c r="A1197">
        <v>49</v>
      </c>
      <c r="B1197" t="s">
        <v>43</v>
      </c>
      <c r="C1197">
        <f>IF(HR_analytics[[#This Row],[Attrition]]="Yes",1,0)</f>
        <v>0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3">
      <c r="A1198">
        <v>41</v>
      </c>
      <c r="B1198" t="s">
        <v>43</v>
      </c>
      <c r="C1198">
        <f>IF(HR_analytics[[#This Row],[Attrition]]="Yes",1,0)</f>
        <v>0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3">
      <c r="A1199">
        <v>20</v>
      </c>
      <c r="B1199" t="s">
        <v>43</v>
      </c>
      <c r="C1199">
        <f>IF(HR_analytics[[#This Row],[Attrition]]="Yes",1,0)</f>
        <v>0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3">
      <c r="A1200">
        <v>33</v>
      </c>
      <c r="B1200" t="s">
        <v>43</v>
      </c>
      <c r="C1200">
        <f>IF(HR_analytics[[#This Row],[Attrition]]="Yes",1,0)</f>
        <v>0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3">
      <c r="A1201">
        <v>36</v>
      </c>
      <c r="B1201" t="s">
        <v>43</v>
      </c>
      <c r="C1201">
        <f>IF(HR_analytics[[#This Row],[Attrition]]="Yes",1,0)</f>
        <v>0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3">
      <c r="A1202">
        <v>44</v>
      </c>
      <c r="B1202" t="s">
        <v>43</v>
      </c>
      <c r="C1202">
        <f>IF(HR_analytics[[#This Row],[Attrition]]="Yes",1,0)</f>
        <v>0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3">
      <c r="A1203">
        <v>23</v>
      </c>
      <c r="B1203" t="s">
        <v>35</v>
      </c>
      <c r="C1203">
        <f>IF(HR_analytics[[#This Row],[Attrition]]="Yes",1,0)</f>
        <v>1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3">
      <c r="A1204">
        <v>38</v>
      </c>
      <c r="B1204" t="s">
        <v>43</v>
      </c>
      <c r="C1204">
        <f>IF(HR_analytics[[#This Row],[Attrition]]="Yes",1,0)</f>
        <v>0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t="s">
        <v>43</v>
      </c>
      <c r="C1205">
        <f>IF(HR_analytics[[#This Row],[Attrition]]="Yes",1,0)</f>
        <v>0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3">
      <c r="A1206">
        <v>48</v>
      </c>
      <c r="B1206" t="s">
        <v>35</v>
      </c>
      <c r="C1206">
        <f>IF(HR_analytics[[#This Row],[Attrition]]="Yes",1,0)</f>
        <v>1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3">
      <c r="A1207">
        <v>32</v>
      </c>
      <c r="B1207" t="s">
        <v>35</v>
      </c>
      <c r="C1207">
        <f>IF(HR_analytics[[#This Row],[Attrition]]="Yes",1,0)</f>
        <v>1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3">
      <c r="A1208">
        <v>26</v>
      </c>
      <c r="B1208" t="s">
        <v>43</v>
      </c>
      <c r="C1208">
        <f>IF(HR_analytics[[#This Row],[Attrition]]="Yes",1,0)</f>
        <v>0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3">
      <c r="A1209">
        <v>55</v>
      </c>
      <c r="B1209" t="s">
        <v>43</v>
      </c>
      <c r="C1209">
        <f>IF(HR_analytics[[#This Row],[Attrition]]="Yes",1,0)</f>
        <v>0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3">
      <c r="A1210">
        <v>34</v>
      </c>
      <c r="B1210" t="s">
        <v>43</v>
      </c>
      <c r="C1210">
        <f>IF(HR_analytics[[#This Row],[Attrition]]="Yes",1,0)</f>
        <v>0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3">
      <c r="A1211">
        <v>60</v>
      </c>
      <c r="B1211" t="s">
        <v>43</v>
      </c>
      <c r="C1211">
        <f>IF(HR_analytics[[#This Row],[Attrition]]="Yes",1,0)</f>
        <v>0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t="s">
        <v>43</v>
      </c>
      <c r="C1212">
        <f>IF(HR_analytics[[#This Row],[Attrition]]="Yes",1,0)</f>
        <v>0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3">
      <c r="A1213">
        <v>37</v>
      </c>
      <c r="B1213" t="s">
        <v>43</v>
      </c>
      <c r="C1213">
        <f>IF(HR_analytics[[#This Row],[Attrition]]="Yes",1,0)</f>
        <v>0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3">
      <c r="A1214">
        <v>34</v>
      </c>
      <c r="B1214" t="s">
        <v>43</v>
      </c>
      <c r="C1214">
        <f>IF(HR_analytics[[#This Row],[Attrition]]="Yes",1,0)</f>
        <v>0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3">
      <c r="A1215">
        <v>23</v>
      </c>
      <c r="B1215" t="s">
        <v>35</v>
      </c>
      <c r="C1215">
        <f>IF(HR_analytics[[#This Row],[Attrition]]="Yes",1,0)</f>
        <v>1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3">
      <c r="A1216">
        <v>44</v>
      </c>
      <c r="B1216" t="s">
        <v>43</v>
      </c>
      <c r="C1216">
        <f>IF(HR_analytics[[#This Row],[Attrition]]="Yes",1,0)</f>
        <v>0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3">
      <c r="A1217">
        <v>35</v>
      </c>
      <c r="B1217" t="s">
        <v>43</v>
      </c>
      <c r="C1217">
        <f>IF(HR_analytics[[#This Row],[Attrition]]="Yes",1,0)</f>
        <v>0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3">
      <c r="A1218">
        <v>43</v>
      </c>
      <c r="B1218" t="s">
        <v>43</v>
      </c>
      <c r="C1218">
        <f>IF(HR_analytics[[#This Row],[Attrition]]="Yes",1,0)</f>
        <v>0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3">
      <c r="A1219">
        <v>24</v>
      </c>
      <c r="B1219" t="s">
        <v>43</v>
      </c>
      <c r="C1219">
        <f>IF(HR_analytics[[#This Row],[Attrition]]="Yes",1,0)</f>
        <v>0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3">
      <c r="A1220">
        <v>41</v>
      </c>
      <c r="B1220" t="s">
        <v>43</v>
      </c>
      <c r="C1220">
        <f>IF(HR_analytics[[#This Row],[Attrition]]="Yes",1,0)</f>
        <v>0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3">
      <c r="A1221">
        <v>29</v>
      </c>
      <c r="B1221" t="s">
        <v>43</v>
      </c>
      <c r="C1221">
        <f>IF(HR_analytics[[#This Row],[Attrition]]="Yes",1,0)</f>
        <v>0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3">
      <c r="A1222">
        <v>36</v>
      </c>
      <c r="B1222" t="s">
        <v>43</v>
      </c>
      <c r="C1222">
        <f>IF(HR_analytics[[#This Row],[Attrition]]="Yes",1,0)</f>
        <v>0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3">
      <c r="A1223">
        <v>45</v>
      </c>
      <c r="B1223" t="s">
        <v>43</v>
      </c>
      <c r="C1223">
        <f>IF(HR_analytics[[#This Row],[Attrition]]="Yes",1,0)</f>
        <v>0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3">
      <c r="A1224">
        <v>24</v>
      </c>
      <c r="B1224" t="s">
        <v>35</v>
      </c>
      <c r="C1224">
        <f>IF(HR_analytics[[#This Row],[Attrition]]="Yes",1,0)</f>
        <v>1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3">
      <c r="A1225">
        <v>47</v>
      </c>
      <c r="B1225" t="s">
        <v>35</v>
      </c>
      <c r="C1225">
        <f>IF(HR_analytics[[#This Row],[Attrition]]="Yes",1,0)</f>
        <v>1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3">
      <c r="A1226">
        <v>26</v>
      </c>
      <c r="B1226" t="s">
        <v>43</v>
      </c>
      <c r="C1226">
        <f>IF(HR_analytics[[#This Row],[Attrition]]="Yes",1,0)</f>
        <v>0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3">
      <c r="A1227">
        <v>45</v>
      </c>
      <c r="B1227" t="s">
        <v>43</v>
      </c>
      <c r="C1227">
        <f>IF(HR_analytics[[#This Row],[Attrition]]="Yes",1,0)</f>
        <v>0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3">
      <c r="A1228">
        <v>32</v>
      </c>
      <c r="B1228" t="s">
        <v>43</v>
      </c>
      <c r="C1228">
        <f>IF(HR_analytics[[#This Row],[Attrition]]="Yes",1,0)</f>
        <v>0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3">
      <c r="A1229">
        <v>31</v>
      </c>
      <c r="B1229" t="s">
        <v>43</v>
      </c>
      <c r="C1229">
        <f>IF(HR_analytics[[#This Row],[Attrition]]="Yes",1,0)</f>
        <v>0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3">
      <c r="A1230">
        <v>41</v>
      </c>
      <c r="B1230" t="s">
        <v>43</v>
      </c>
      <c r="C1230">
        <f>IF(HR_analytics[[#This Row],[Attrition]]="Yes",1,0)</f>
        <v>0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3">
      <c r="A1231">
        <v>40</v>
      </c>
      <c r="B1231" t="s">
        <v>43</v>
      </c>
      <c r="C1231">
        <f>IF(HR_analytics[[#This Row],[Attrition]]="Yes",1,0)</f>
        <v>0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t="s">
        <v>43</v>
      </c>
      <c r="C1232">
        <f>IF(HR_analytics[[#This Row],[Attrition]]="Yes",1,0)</f>
        <v>0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3">
      <c r="A1233">
        <v>46</v>
      </c>
      <c r="B1233" t="s">
        <v>43</v>
      </c>
      <c r="C1233">
        <f>IF(HR_analytics[[#This Row],[Attrition]]="Yes",1,0)</f>
        <v>0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3">
      <c r="A1234">
        <v>35</v>
      </c>
      <c r="B1234" t="s">
        <v>43</v>
      </c>
      <c r="C1234">
        <f>IF(HR_analytics[[#This Row],[Attrition]]="Yes",1,0)</f>
        <v>0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3">
      <c r="A1235">
        <v>30</v>
      </c>
      <c r="B1235" t="s">
        <v>43</v>
      </c>
      <c r="C1235">
        <f>IF(HR_analytics[[#This Row],[Attrition]]="Yes",1,0)</f>
        <v>0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3">
      <c r="A1236">
        <v>47</v>
      </c>
      <c r="B1236" t="s">
        <v>43</v>
      </c>
      <c r="C1236">
        <f>IF(HR_analytics[[#This Row],[Attrition]]="Yes",1,0)</f>
        <v>0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t="s">
        <v>43</v>
      </c>
      <c r="C1237">
        <f>IF(HR_analytics[[#This Row],[Attrition]]="Yes",1,0)</f>
        <v>0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3">
      <c r="A1238">
        <v>36</v>
      </c>
      <c r="B1238" t="s">
        <v>35</v>
      </c>
      <c r="C1238">
        <f>IF(HR_analytics[[#This Row],[Attrition]]="Yes",1,0)</f>
        <v>1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3">
      <c r="A1239">
        <v>32</v>
      </c>
      <c r="B1239" t="s">
        <v>35</v>
      </c>
      <c r="C1239">
        <f>IF(HR_analytics[[#This Row],[Attrition]]="Yes",1,0)</f>
        <v>1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>
        <v>23</v>
      </c>
      <c r="B1240" t="s">
        <v>43</v>
      </c>
      <c r="C1240">
        <f>IF(HR_analytics[[#This Row],[Attrition]]="Yes",1,0)</f>
        <v>0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3">
      <c r="A1241">
        <v>31</v>
      </c>
      <c r="B1241" t="s">
        <v>43</v>
      </c>
      <c r="C1241">
        <f>IF(HR_analytics[[#This Row],[Attrition]]="Yes",1,0)</f>
        <v>0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3">
      <c r="A1242">
        <v>39</v>
      </c>
      <c r="B1242" t="s">
        <v>43</v>
      </c>
      <c r="C1242">
        <f>IF(HR_analytics[[#This Row],[Attrition]]="Yes",1,0)</f>
        <v>0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3">
      <c r="A1243">
        <v>32</v>
      </c>
      <c r="B1243" t="s">
        <v>43</v>
      </c>
      <c r="C1243">
        <f>IF(HR_analytics[[#This Row],[Attrition]]="Yes",1,0)</f>
        <v>0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3">
      <c r="A1244">
        <v>40</v>
      </c>
      <c r="B1244" t="s">
        <v>43</v>
      </c>
      <c r="C1244">
        <f>IF(HR_analytics[[#This Row],[Attrition]]="Yes",1,0)</f>
        <v>0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3">
      <c r="A1245">
        <v>45</v>
      </c>
      <c r="B1245" t="s">
        <v>43</v>
      </c>
      <c r="C1245">
        <f>IF(HR_analytics[[#This Row],[Attrition]]="Yes",1,0)</f>
        <v>0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3">
      <c r="A1246">
        <v>30</v>
      </c>
      <c r="B1246" t="s">
        <v>43</v>
      </c>
      <c r="C1246">
        <f>IF(HR_analytics[[#This Row],[Attrition]]="Yes",1,0)</f>
        <v>0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3">
      <c r="A1247">
        <v>24</v>
      </c>
      <c r="B1247" t="s">
        <v>43</v>
      </c>
      <c r="C1247">
        <f>IF(HR_analytics[[#This Row],[Attrition]]="Yes",1,0)</f>
        <v>0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3">
      <c r="A1248">
        <v>30</v>
      </c>
      <c r="B1248" t="s">
        <v>35</v>
      </c>
      <c r="C1248">
        <f>IF(HR_analytics[[#This Row],[Attrition]]="Yes",1,0)</f>
        <v>1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3">
      <c r="A1249">
        <v>31</v>
      </c>
      <c r="B1249" t="s">
        <v>43</v>
      </c>
      <c r="C1249">
        <f>IF(HR_analytics[[#This Row],[Attrition]]="Yes",1,0)</f>
        <v>0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3">
      <c r="A1250">
        <v>27</v>
      </c>
      <c r="B1250" t="s">
        <v>43</v>
      </c>
      <c r="C1250">
        <f>IF(HR_analytics[[#This Row],[Attrition]]="Yes",1,0)</f>
        <v>0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3">
      <c r="A1251">
        <v>29</v>
      </c>
      <c r="B1251" t="s">
        <v>35</v>
      </c>
      <c r="C1251">
        <f>IF(HR_analytics[[#This Row],[Attrition]]="Yes",1,0)</f>
        <v>1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3">
      <c r="A1252">
        <v>29</v>
      </c>
      <c r="B1252" t="s">
        <v>43</v>
      </c>
      <c r="C1252">
        <f>IF(HR_analytics[[#This Row],[Attrition]]="Yes",1,0)</f>
        <v>0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3">
      <c r="A1253">
        <v>30</v>
      </c>
      <c r="B1253" t="s">
        <v>43</v>
      </c>
      <c r="C1253">
        <f>IF(HR_analytics[[#This Row],[Attrition]]="Yes",1,0)</f>
        <v>0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3">
      <c r="A1254">
        <v>34</v>
      </c>
      <c r="B1254" t="s">
        <v>43</v>
      </c>
      <c r="C1254">
        <f>IF(HR_analytics[[#This Row],[Attrition]]="Yes",1,0)</f>
        <v>0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3">
      <c r="A1255">
        <v>33</v>
      </c>
      <c r="B1255" t="s">
        <v>43</v>
      </c>
      <c r="C1255">
        <f>IF(HR_analytics[[#This Row],[Attrition]]="Yes",1,0)</f>
        <v>0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3">
      <c r="A1256">
        <v>49</v>
      </c>
      <c r="B1256" t="s">
        <v>43</v>
      </c>
      <c r="C1256">
        <f>IF(HR_analytics[[#This Row],[Attrition]]="Yes",1,0)</f>
        <v>0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3">
      <c r="A1257">
        <v>33</v>
      </c>
      <c r="B1257" t="s">
        <v>35</v>
      </c>
      <c r="C1257">
        <f>IF(HR_analytics[[#This Row],[Attrition]]="Yes",1,0)</f>
        <v>1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>
        <v>38</v>
      </c>
      <c r="B1258" t="s">
        <v>43</v>
      </c>
      <c r="C1258">
        <f>IF(HR_analytics[[#This Row],[Attrition]]="Yes",1,0)</f>
        <v>0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3">
      <c r="A1259">
        <v>31</v>
      </c>
      <c r="B1259" t="s">
        <v>35</v>
      </c>
      <c r="C1259">
        <f>IF(HR_analytics[[#This Row],[Attrition]]="Yes",1,0)</f>
        <v>1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3">
      <c r="A1260">
        <v>29</v>
      </c>
      <c r="B1260" t="s">
        <v>43</v>
      </c>
      <c r="C1260">
        <f>IF(HR_analytics[[#This Row],[Attrition]]="Yes",1,0)</f>
        <v>0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t="s">
        <v>43</v>
      </c>
      <c r="C1261">
        <f>IF(HR_analytics[[#This Row],[Attrition]]="Yes",1,0)</f>
        <v>0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3">
      <c r="A1262">
        <v>32</v>
      </c>
      <c r="B1262" t="s">
        <v>43</v>
      </c>
      <c r="C1262">
        <f>IF(HR_analytics[[#This Row],[Attrition]]="Yes",1,0)</f>
        <v>0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3">
      <c r="A1263">
        <v>38</v>
      </c>
      <c r="B1263" t="s">
        <v>43</v>
      </c>
      <c r="C1263">
        <f>IF(HR_analytics[[#This Row],[Attrition]]="Yes",1,0)</f>
        <v>0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3">
      <c r="A1264">
        <v>43</v>
      </c>
      <c r="B1264" t="s">
        <v>35</v>
      </c>
      <c r="C1264">
        <f>IF(HR_analytics[[#This Row],[Attrition]]="Yes",1,0)</f>
        <v>1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3">
      <c r="A1265">
        <v>42</v>
      </c>
      <c r="B1265" t="s">
        <v>43</v>
      </c>
      <c r="C1265">
        <f>IF(HR_analytics[[#This Row],[Attrition]]="Yes",1,0)</f>
        <v>0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3">
      <c r="A1266">
        <v>55</v>
      </c>
      <c r="B1266" t="s">
        <v>43</v>
      </c>
      <c r="C1266">
        <f>IF(HR_analytics[[#This Row],[Attrition]]="Yes",1,0)</f>
        <v>0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t="s">
        <v>43</v>
      </c>
      <c r="C1267">
        <f>IF(HR_analytics[[#This Row],[Attrition]]="Yes",1,0)</f>
        <v>0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3">
      <c r="A1268">
        <v>41</v>
      </c>
      <c r="B1268" t="s">
        <v>43</v>
      </c>
      <c r="C1268">
        <f>IF(HR_analytics[[#This Row],[Attrition]]="Yes",1,0)</f>
        <v>0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3">
      <c r="A1269">
        <v>34</v>
      </c>
      <c r="B1269" t="s">
        <v>43</v>
      </c>
      <c r="C1269">
        <f>IF(HR_analytics[[#This Row],[Attrition]]="Yes",1,0)</f>
        <v>0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3">
      <c r="A1270">
        <v>53</v>
      </c>
      <c r="B1270" t="s">
        <v>43</v>
      </c>
      <c r="C1270">
        <f>IF(HR_analytics[[#This Row],[Attrition]]="Yes",1,0)</f>
        <v>0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3">
      <c r="A1271">
        <v>43</v>
      </c>
      <c r="B1271" t="s">
        <v>43</v>
      </c>
      <c r="C1271">
        <f>IF(HR_analytics[[#This Row],[Attrition]]="Yes",1,0)</f>
        <v>0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3">
      <c r="A1272">
        <v>34</v>
      </c>
      <c r="B1272" t="s">
        <v>43</v>
      </c>
      <c r="C1272">
        <f>IF(HR_analytics[[#This Row],[Attrition]]="Yes",1,0)</f>
        <v>0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3">
      <c r="A1273">
        <v>21</v>
      </c>
      <c r="B1273" t="s">
        <v>35</v>
      </c>
      <c r="C1273">
        <f>IF(HR_analytics[[#This Row],[Attrition]]="Yes",1,0)</f>
        <v>1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3">
      <c r="A1274">
        <v>38</v>
      </c>
      <c r="B1274" t="s">
        <v>43</v>
      </c>
      <c r="C1274">
        <f>IF(HR_analytics[[#This Row],[Attrition]]="Yes",1,0)</f>
        <v>0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3">
      <c r="A1275">
        <v>22</v>
      </c>
      <c r="B1275" t="s">
        <v>35</v>
      </c>
      <c r="C1275">
        <f>IF(HR_analytics[[#This Row],[Attrition]]="Yes",1,0)</f>
        <v>1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3">
      <c r="A1276">
        <v>31</v>
      </c>
      <c r="B1276" t="s">
        <v>43</v>
      </c>
      <c r="C1276">
        <f>IF(HR_analytics[[#This Row],[Attrition]]="Yes",1,0)</f>
        <v>0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3">
      <c r="A1277">
        <v>51</v>
      </c>
      <c r="B1277" t="s">
        <v>43</v>
      </c>
      <c r="C1277">
        <f>IF(HR_analytics[[#This Row],[Attrition]]="Yes",1,0)</f>
        <v>0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3">
      <c r="A1278">
        <v>37</v>
      </c>
      <c r="B1278" t="s">
        <v>43</v>
      </c>
      <c r="C1278">
        <f>IF(HR_analytics[[#This Row],[Attrition]]="Yes",1,0)</f>
        <v>0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3">
      <c r="A1279">
        <v>46</v>
      </c>
      <c r="B1279" t="s">
        <v>43</v>
      </c>
      <c r="C1279">
        <f>IF(HR_analytics[[#This Row],[Attrition]]="Yes",1,0)</f>
        <v>0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3">
      <c r="A1280">
        <v>36</v>
      </c>
      <c r="B1280" t="s">
        <v>43</v>
      </c>
      <c r="C1280">
        <f>IF(HR_analytics[[#This Row],[Attrition]]="Yes",1,0)</f>
        <v>0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3">
      <c r="A1281">
        <v>44</v>
      </c>
      <c r="B1281" t="s">
        <v>35</v>
      </c>
      <c r="C1281">
        <f>IF(HR_analytics[[#This Row],[Attrition]]="Yes",1,0)</f>
        <v>1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3">
      <c r="A1282">
        <v>37</v>
      </c>
      <c r="B1282" t="s">
        <v>43</v>
      </c>
      <c r="C1282">
        <f>IF(HR_analytics[[#This Row],[Attrition]]="Yes",1,0)</f>
        <v>0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3">
      <c r="A1283">
        <v>35</v>
      </c>
      <c r="B1283" t="s">
        <v>35</v>
      </c>
      <c r="C1283">
        <f>IF(HR_analytics[[#This Row],[Attrition]]="Yes",1,0)</f>
        <v>1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3">
      <c r="A1284">
        <v>33</v>
      </c>
      <c r="B1284" t="s">
        <v>43</v>
      </c>
      <c r="C1284">
        <f>IF(HR_analytics[[#This Row],[Attrition]]="Yes",1,0)</f>
        <v>0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3">
      <c r="A1285">
        <v>28</v>
      </c>
      <c r="B1285" t="s">
        <v>43</v>
      </c>
      <c r="C1285">
        <f>IF(HR_analytics[[#This Row],[Attrition]]="Yes",1,0)</f>
        <v>0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3">
      <c r="A1286">
        <v>39</v>
      </c>
      <c r="B1286" t="s">
        <v>43</v>
      </c>
      <c r="C1286">
        <f>IF(HR_analytics[[#This Row],[Attrition]]="Yes",1,0)</f>
        <v>0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3">
      <c r="A1287">
        <v>46</v>
      </c>
      <c r="B1287" t="s">
        <v>43</v>
      </c>
      <c r="C1287">
        <f>IF(HR_analytics[[#This Row],[Attrition]]="Yes",1,0)</f>
        <v>0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3">
      <c r="A1288">
        <v>40</v>
      </c>
      <c r="B1288" t="s">
        <v>43</v>
      </c>
      <c r="C1288">
        <f>IF(HR_analytics[[#This Row],[Attrition]]="Yes",1,0)</f>
        <v>0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3">
      <c r="A1289">
        <v>42</v>
      </c>
      <c r="B1289" t="s">
        <v>43</v>
      </c>
      <c r="C1289">
        <f>IF(HR_analytics[[#This Row],[Attrition]]="Yes",1,0)</f>
        <v>0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t="s">
        <v>43</v>
      </c>
      <c r="C1290">
        <f>IF(HR_analytics[[#This Row],[Attrition]]="Yes",1,0)</f>
        <v>0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3">
      <c r="A1291">
        <v>38</v>
      </c>
      <c r="B1291" t="s">
        <v>43</v>
      </c>
      <c r="C1291">
        <f>IF(HR_analytics[[#This Row],[Attrition]]="Yes",1,0)</f>
        <v>0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3">
      <c r="A1292">
        <v>34</v>
      </c>
      <c r="B1292" t="s">
        <v>35</v>
      </c>
      <c r="C1292">
        <f>IF(HR_analytics[[#This Row],[Attrition]]="Yes",1,0)</f>
        <v>1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3">
      <c r="A1293">
        <v>37</v>
      </c>
      <c r="B1293" t="s">
        <v>35</v>
      </c>
      <c r="C1293">
        <f>IF(HR_analytics[[#This Row],[Attrition]]="Yes",1,0)</f>
        <v>1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3">
      <c r="A1294">
        <v>39</v>
      </c>
      <c r="B1294" t="s">
        <v>43</v>
      </c>
      <c r="C1294">
        <f>IF(HR_analytics[[#This Row],[Attrition]]="Yes",1,0)</f>
        <v>0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3">
      <c r="A1295">
        <v>43</v>
      </c>
      <c r="B1295" t="s">
        <v>43</v>
      </c>
      <c r="C1295">
        <f>IF(HR_analytics[[#This Row],[Attrition]]="Yes",1,0)</f>
        <v>0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3">
      <c r="A1296">
        <v>41</v>
      </c>
      <c r="B1296" t="s">
        <v>43</v>
      </c>
      <c r="C1296">
        <f>IF(HR_analytics[[#This Row],[Attrition]]="Yes",1,0)</f>
        <v>0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3">
      <c r="A1297">
        <v>41</v>
      </c>
      <c r="B1297" t="s">
        <v>43</v>
      </c>
      <c r="C1297">
        <f>IF(HR_analytics[[#This Row],[Attrition]]="Yes",1,0)</f>
        <v>0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3">
      <c r="A1298">
        <v>30</v>
      </c>
      <c r="B1298" t="s">
        <v>43</v>
      </c>
      <c r="C1298">
        <f>IF(HR_analytics[[#This Row],[Attrition]]="Yes",1,0)</f>
        <v>0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3">
      <c r="A1299">
        <v>26</v>
      </c>
      <c r="B1299" t="s">
        <v>35</v>
      </c>
      <c r="C1299">
        <f>IF(HR_analytics[[#This Row],[Attrition]]="Yes",1,0)</f>
        <v>1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3">
      <c r="A1300">
        <v>46</v>
      </c>
      <c r="B1300" t="s">
        <v>35</v>
      </c>
      <c r="C1300">
        <f>IF(HR_analytics[[#This Row],[Attrition]]="Yes",1,0)</f>
        <v>1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3">
      <c r="A1301">
        <v>40</v>
      </c>
      <c r="B1301" t="s">
        <v>43</v>
      </c>
      <c r="C1301">
        <f>IF(HR_analytics[[#This Row],[Attrition]]="Yes",1,0)</f>
        <v>0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3">
      <c r="A1302">
        <v>34</v>
      </c>
      <c r="B1302" t="s">
        <v>43</v>
      </c>
      <c r="C1302">
        <f>IF(HR_analytics[[#This Row],[Attrition]]="Yes",1,0)</f>
        <v>0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3">
      <c r="A1303">
        <v>58</v>
      </c>
      <c r="B1303" t="s">
        <v>43</v>
      </c>
      <c r="C1303">
        <f>IF(HR_analytics[[#This Row],[Attrition]]="Yes",1,0)</f>
        <v>0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3">
      <c r="A1304">
        <v>35</v>
      </c>
      <c r="B1304" t="s">
        <v>43</v>
      </c>
      <c r="C1304">
        <f>IF(HR_analytics[[#This Row],[Attrition]]="Yes",1,0)</f>
        <v>0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3">
      <c r="A1305">
        <v>47</v>
      </c>
      <c r="B1305" t="s">
        <v>43</v>
      </c>
      <c r="C1305">
        <f>IF(HR_analytics[[#This Row],[Attrition]]="Yes",1,0)</f>
        <v>0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3">
      <c r="A1306">
        <v>40</v>
      </c>
      <c r="B1306" t="s">
        <v>43</v>
      </c>
      <c r="C1306">
        <f>IF(HR_analytics[[#This Row],[Attrition]]="Yes",1,0)</f>
        <v>0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3">
      <c r="A1307">
        <v>54</v>
      </c>
      <c r="B1307" t="s">
        <v>43</v>
      </c>
      <c r="C1307">
        <f>IF(HR_analytics[[#This Row],[Attrition]]="Yes",1,0)</f>
        <v>0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3">
      <c r="A1308">
        <v>31</v>
      </c>
      <c r="B1308" t="s">
        <v>43</v>
      </c>
      <c r="C1308">
        <f>IF(HR_analytics[[#This Row],[Attrition]]="Yes",1,0)</f>
        <v>0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3">
      <c r="A1309">
        <v>28</v>
      </c>
      <c r="B1309" t="s">
        <v>43</v>
      </c>
      <c r="C1309">
        <f>IF(HR_analytics[[#This Row],[Attrition]]="Yes",1,0)</f>
        <v>0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3">
      <c r="A1310">
        <v>38</v>
      </c>
      <c r="B1310" t="s">
        <v>43</v>
      </c>
      <c r="C1310">
        <f>IF(HR_analytics[[#This Row],[Attrition]]="Yes",1,0)</f>
        <v>0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3">
      <c r="A1311">
        <v>26</v>
      </c>
      <c r="B1311" t="s">
        <v>43</v>
      </c>
      <c r="C1311">
        <f>IF(HR_analytics[[#This Row],[Attrition]]="Yes",1,0)</f>
        <v>0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3">
      <c r="A1312">
        <v>58</v>
      </c>
      <c r="B1312" t="s">
        <v>43</v>
      </c>
      <c r="C1312">
        <f>IF(HR_analytics[[#This Row],[Attrition]]="Yes",1,0)</f>
        <v>0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3">
      <c r="A1313">
        <v>18</v>
      </c>
      <c r="B1313" t="s">
        <v>43</v>
      </c>
      <c r="C1313">
        <f>IF(HR_analytics[[#This Row],[Attrition]]="Yes",1,0)</f>
        <v>0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t="s">
        <v>35</v>
      </c>
      <c r="C1314">
        <f>IF(HR_analytics[[#This Row],[Attrition]]="Yes",1,0)</f>
        <v>1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3">
      <c r="A1315">
        <v>29</v>
      </c>
      <c r="B1315" t="s">
        <v>35</v>
      </c>
      <c r="C1315">
        <f>IF(HR_analytics[[#This Row],[Attrition]]="Yes",1,0)</f>
        <v>1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3">
      <c r="A1316">
        <v>45</v>
      </c>
      <c r="B1316" t="s">
        <v>43</v>
      </c>
      <c r="C1316">
        <f>IF(HR_analytics[[#This Row],[Attrition]]="Yes",1,0)</f>
        <v>0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3">
      <c r="A1317">
        <v>36</v>
      </c>
      <c r="B1317" t="s">
        <v>43</v>
      </c>
      <c r="C1317">
        <f>IF(HR_analytics[[#This Row],[Attrition]]="Yes",1,0)</f>
        <v>0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t="s">
        <v>43</v>
      </c>
      <c r="C1318">
        <f>IF(HR_analytics[[#This Row],[Attrition]]="Yes",1,0)</f>
        <v>0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3">
      <c r="A1319">
        <v>27</v>
      </c>
      <c r="B1319" t="s">
        <v>43</v>
      </c>
      <c r="C1319">
        <f>IF(HR_analytics[[#This Row],[Attrition]]="Yes",1,0)</f>
        <v>0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3">
      <c r="A1320">
        <v>29</v>
      </c>
      <c r="B1320" t="s">
        <v>43</v>
      </c>
      <c r="C1320">
        <f>IF(HR_analytics[[#This Row],[Attrition]]="Yes",1,0)</f>
        <v>0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3">
      <c r="A1321">
        <v>32</v>
      </c>
      <c r="B1321" t="s">
        <v>43</v>
      </c>
      <c r="C1321">
        <f>IF(HR_analytics[[#This Row],[Attrition]]="Yes",1,0)</f>
        <v>0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t="s">
        <v>43</v>
      </c>
      <c r="C1322">
        <f>IF(HR_analytics[[#This Row],[Attrition]]="Yes",1,0)</f>
        <v>0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3">
      <c r="A1323">
        <v>47</v>
      </c>
      <c r="B1323" t="s">
        <v>43</v>
      </c>
      <c r="C1323">
        <f>IF(HR_analytics[[#This Row],[Attrition]]="Yes",1,0)</f>
        <v>0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3">
      <c r="A1324">
        <v>46</v>
      </c>
      <c r="B1324" t="s">
        <v>43</v>
      </c>
      <c r="C1324">
        <f>IF(HR_analytics[[#This Row],[Attrition]]="Yes",1,0)</f>
        <v>0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3">
      <c r="A1325">
        <v>28</v>
      </c>
      <c r="B1325" t="s">
        <v>43</v>
      </c>
      <c r="C1325">
        <f>IF(HR_analytics[[#This Row],[Attrition]]="Yes",1,0)</f>
        <v>0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3">
      <c r="A1326">
        <v>29</v>
      </c>
      <c r="B1326" t="s">
        <v>43</v>
      </c>
      <c r="C1326">
        <f>IF(HR_analytics[[#This Row],[Attrition]]="Yes",1,0)</f>
        <v>0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3">
      <c r="A1327">
        <v>42</v>
      </c>
      <c r="B1327" t="s">
        <v>43</v>
      </c>
      <c r="C1327">
        <f>IF(HR_analytics[[#This Row],[Attrition]]="Yes",1,0)</f>
        <v>0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t="s">
        <v>35</v>
      </c>
      <c r="C1328">
        <f>IF(HR_analytics[[#This Row],[Attrition]]="Yes",1,0)</f>
        <v>1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3">
      <c r="A1329">
        <v>46</v>
      </c>
      <c r="B1329" t="s">
        <v>43</v>
      </c>
      <c r="C1329">
        <f>IF(HR_analytics[[#This Row],[Attrition]]="Yes",1,0)</f>
        <v>0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3">
      <c r="A1330">
        <v>27</v>
      </c>
      <c r="B1330" t="s">
        <v>43</v>
      </c>
      <c r="C1330">
        <f>IF(HR_analytics[[#This Row],[Attrition]]="Yes",1,0)</f>
        <v>0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3">
      <c r="A1331">
        <v>29</v>
      </c>
      <c r="B1331" t="s">
        <v>43</v>
      </c>
      <c r="C1331">
        <f>IF(HR_analytics[[#This Row],[Attrition]]="Yes",1,0)</f>
        <v>0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t="s">
        <v>43</v>
      </c>
      <c r="C1332">
        <f>IF(HR_analytics[[#This Row],[Attrition]]="Yes",1,0)</f>
        <v>0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3">
      <c r="A1333">
        <v>48</v>
      </c>
      <c r="B1333" t="s">
        <v>43</v>
      </c>
      <c r="C1333">
        <f>IF(HR_analytics[[#This Row],[Attrition]]="Yes",1,0)</f>
        <v>0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3">
      <c r="A1334">
        <v>29</v>
      </c>
      <c r="B1334" t="s">
        <v>35</v>
      </c>
      <c r="C1334">
        <f>IF(HR_analytics[[#This Row],[Attrition]]="Yes",1,0)</f>
        <v>1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3">
      <c r="A1335">
        <v>46</v>
      </c>
      <c r="B1335" t="s">
        <v>35</v>
      </c>
      <c r="C1335">
        <f>IF(HR_analytics[[#This Row],[Attrition]]="Yes",1,0)</f>
        <v>1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3">
      <c r="A1336">
        <v>27</v>
      </c>
      <c r="B1336" t="s">
        <v>43</v>
      </c>
      <c r="C1336">
        <f>IF(HR_analytics[[#This Row],[Attrition]]="Yes",1,0)</f>
        <v>0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3">
      <c r="A1337">
        <v>39</v>
      </c>
      <c r="B1337" t="s">
        <v>43</v>
      </c>
      <c r="C1337">
        <f>IF(HR_analytics[[#This Row],[Attrition]]="Yes",1,0)</f>
        <v>0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3">
      <c r="A1338">
        <v>55</v>
      </c>
      <c r="B1338" t="s">
        <v>43</v>
      </c>
      <c r="C1338">
        <f>IF(HR_analytics[[#This Row],[Attrition]]="Yes",1,0)</f>
        <v>0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3">
      <c r="A1339">
        <v>28</v>
      </c>
      <c r="B1339" t="s">
        <v>43</v>
      </c>
      <c r="C1339">
        <f>IF(HR_analytics[[#This Row],[Attrition]]="Yes",1,0)</f>
        <v>0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t="s">
        <v>35</v>
      </c>
      <c r="C1340">
        <f>IF(HR_analytics[[#This Row],[Attrition]]="Yes",1,0)</f>
        <v>1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3">
      <c r="A1341">
        <v>22</v>
      </c>
      <c r="B1341" t="s">
        <v>35</v>
      </c>
      <c r="C1341">
        <f>IF(HR_analytics[[#This Row],[Attrition]]="Yes",1,0)</f>
        <v>1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3">
      <c r="A1342">
        <v>36</v>
      </c>
      <c r="B1342" t="s">
        <v>43</v>
      </c>
      <c r="C1342">
        <f>IF(HR_analytics[[#This Row],[Attrition]]="Yes",1,0)</f>
        <v>0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3">
      <c r="A1343">
        <v>31</v>
      </c>
      <c r="B1343" t="s">
        <v>43</v>
      </c>
      <c r="C1343">
        <f>IF(HR_analytics[[#This Row],[Attrition]]="Yes",1,0)</f>
        <v>0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3">
      <c r="A1344">
        <v>34</v>
      </c>
      <c r="B1344" t="s">
        <v>43</v>
      </c>
      <c r="C1344">
        <f>IF(HR_analytics[[#This Row],[Attrition]]="Yes",1,0)</f>
        <v>0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3">
      <c r="A1345">
        <v>29</v>
      </c>
      <c r="B1345" t="s">
        <v>43</v>
      </c>
      <c r="C1345">
        <f>IF(HR_analytics[[#This Row],[Attrition]]="Yes",1,0)</f>
        <v>0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3">
      <c r="A1346">
        <v>37</v>
      </c>
      <c r="B1346" t="s">
        <v>43</v>
      </c>
      <c r="C1346">
        <f>IF(HR_analytics[[#This Row],[Attrition]]="Yes",1,0)</f>
        <v>0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3">
      <c r="A1347">
        <v>35</v>
      </c>
      <c r="B1347" t="s">
        <v>43</v>
      </c>
      <c r="C1347">
        <f>IF(HR_analytics[[#This Row],[Attrition]]="Yes",1,0)</f>
        <v>0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3">
      <c r="A1348">
        <v>45</v>
      </c>
      <c r="B1348" t="s">
        <v>43</v>
      </c>
      <c r="C1348">
        <f>IF(HR_analytics[[#This Row],[Attrition]]="Yes",1,0)</f>
        <v>0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3">
      <c r="A1349">
        <v>36</v>
      </c>
      <c r="B1349" t="s">
        <v>43</v>
      </c>
      <c r="C1349">
        <f>IF(HR_analytics[[#This Row],[Attrition]]="Yes",1,0)</f>
        <v>0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3">
      <c r="A1350">
        <v>40</v>
      </c>
      <c r="B1350" t="s">
        <v>43</v>
      </c>
      <c r="C1350">
        <f>IF(HR_analytics[[#This Row],[Attrition]]="Yes",1,0)</f>
        <v>0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3">
      <c r="A1351">
        <v>26</v>
      </c>
      <c r="B1351" t="s">
        <v>43</v>
      </c>
      <c r="C1351">
        <f>IF(HR_analytics[[#This Row],[Attrition]]="Yes",1,0)</f>
        <v>0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3">
      <c r="A1352">
        <v>27</v>
      </c>
      <c r="B1352" t="s">
        <v>43</v>
      </c>
      <c r="C1352">
        <f>IF(HR_analytics[[#This Row],[Attrition]]="Yes",1,0)</f>
        <v>0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3">
      <c r="A1353">
        <v>48</v>
      </c>
      <c r="B1353" t="s">
        <v>43</v>
      </c>
      <c r="C1353">
        <f>IF(HR_analytics[[#This Row],[Attrition]]="Yes",1,0)</f>
        <v>0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3">
      <c r="A1354">
        <v>44</v>
      </c>
      <c r="B1354" t="s">
        <v>43</v>
      </c>
      <c r="C1354">
        <f>IF(HR_analytics[[#This Row],[Attrition]]="Yes",1,0)</f>
        <v>0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3">
      <c r="A1355">
        <v>34</v>
      </c>
      <c r="B1355" t="s">
        <v>35</v>
      </c>
      <c r="C1355">
        <f>IF(HR_analytics[[#This Row],[Attrition]]="Yes",1,0)</f>
        <v>1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3">
      <c r="A1356">
        <v>56</v>
      </c>
      <c r="B1356" t="s">
        <v>35</v>
      </c>
      <c r="C1356">
        <f>IF(HR_analytics[[#This Row],[Attrition]]="Yes",1,0)</f>
        <v>1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3">
      <c r="A1357">
        <v>36</v>
      </c>
      <c r="B1357" t="s">
        <v>43</v>
      </c>
      <c r="C1357">
        <f>IF(HR_analytics[[#This Row],[Attrition]]="Yes",1,0)</f>
        <v>0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3">
      <c r="A1358">
        <v>41</v>
      </c>
      <c r="B1358" t="s">
        <v>43</v>
      </c>
      <c r="C1358">
        <f>IF(HR_analytics[[#This Row],[Attrition]]="Yes",1,0)</f>
        <v>0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3">
      <c r="A1359">
        <v>42</v>
      </c>
      <c r="B1359" t="s">
        <v>43</v>
      </c>
      <c r="C1359">
        <f>IF(HR_analytics[[#This Row],[Attrition]]="Yes",1,0)</f>
        <v>0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3">
      <c r="A1360">
        <v>31</v>
      </c>
      <c r="B1360" t="s">
        <v>43</v>
      </c>
      <c r="C1360">
        <f>IF(HR_analytics[[#This Row],[Attrition]]="Yes",1,0)</f>
        <v>0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3">
      <c r="A1361">
        <v>34</v>
      </c>
      <c r="B1361" t="s">
        <v>43</v>
      </c>
      <c r="C1361">
        <f>IF(HR_analytics[[#This Row],[Attrition]]="Yes",1,0)</f>
        <v>0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3">
      <c r="A1362">
        <v>31</v>
      </c>
      <c r="B1362" t="s">
        <v>43</v>
      </c>
      <c r="C1362">
        <f>IF(HR_analytics[[#This Row],[Attrition]]="Yes",1,0)</f>
        <v>0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3">
      <c r="A1363">
        <v>26</v>
      </c>
      <c r="B1363" t="s">
        <v>43</v>
      </c>
      <c r="C1363">
        <f>IF(HR_analytics[[#This Row],[Attrition]]="Yes",1,0)</f>
        <v>0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3">
      <c r="A1364">
        <v>45</v>
      </c>
      <c r="B1364" t="s">
        <v>43</v>
      </c>
      <c r="C1364">
        <f>IF(HR_analytics[[#This Row],[Attrition]]="Yes",1,0)</f>
        <v>0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3">
      <c r="A1365">
        <v>33</v>
      </c>
      <c r="B1365" t="s">
        <v>43</v>
      </c>
      <c r="C1365">
        <f>IF(HR_analytics[[#This Row],[Attrition]]="Yes",1,0)</f>
        <v>0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3">
      <c r="A1366">
        <v>28</v>
      </c>
      <c r="B1366" t="s">
        <v>43</v>
      </c>
      <c r="C1366">
        <f>IF(HR_analytics[[#This Row],[Attrition]]="Yes",1,0)</f>
        <v>0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3">
      <c r="A1367">
        <v>29</v>
      </c>
      <c r="B1367" t="s">
        <v>35</v>
      </c>
      <c r="C1367">
        <f>IF(HR_analytics[[#This Row],[Attrition]]="Yes",1,0)</f>
        <v>1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3">
      <c r="A1368">
        <v>39</v>
      </c>
      <c r="B1368" t="s">
        <v>43</v>
      </c>
      <c r="C1368">
        <f>IF(HR_analytics[[#This Row],[Attrition]]="Yes",1,0)</f>
        <v>0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3">
      <c r="A1369">
        <v>27</v>
      </c>
      <c r="B1369" t="s">
        <v>43</v>
      </c>
      <c r="C1369">
        <f>IF(HR_analytics[[#This Row],[Attrition]]="Yes",1,0)</f>
        <v>0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3">
      <c r="A1370">
        <v>34</v>
      </c>
      <c r="B1370" t="s">
        <v>43</v>
      </c>
      <c r="C1370">
        <f>IF(HR_analytics[[#This Row],[Attrition]]="Yes",1,0)</f>
        <v>0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3">
      <c r="A1371">
        <v>28</v>
      </c>
      <c r="B1371" t="s">
        <v>35</v>
      </c>
      <c r="C1371">
        <f>IF(HR_analytics[[#This Row],[Attrition]]="Yes",1,0)</f>
        <v>1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3">
      <c r="A1372">
        <v>47</v>
      </c>
      <c r="B1372" t="s">
        <v>43</v>
      </c>
      <c r="C1372">
        <f>IF(HR_analytics[[#This Row],[Attrition]]="Yes",1,0)</f>
        <v>0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3">
      <c r="A1373">
        <v>56</v>
      </c>
      <c r="B1373" t="s">
        <v>43</v>
      </c>
      <c r="C1373">
        <f>IF(HR_analytics[[#This Row],[Attrition]]="Yes",1,0)</f>
        <v>0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t="s">
        <v>43</v>
      </c>
      <c r="C1374">
        <f>IF(HR_analytics[[#This Row],[Attrition]]="Yes",1,0)</f>
        <v>0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3">
      <c r="A1375">
        <v>38</v>
      </c>
      <c r="B1375" t="s">
        <v>43</v>
      </c>
      <c r="C1375">
        <f>IF(HR_analytics[[#This Row],[Attrition]]="Yes",1,0)</f>
        <v>0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3">
      <c r="A1376">
        <v>58</v>
      </c>
      <c r="B1376" t="s">
        <v>43</v>
      </c>
      <c r="C1376">
        <f>IF(HR_analytics[[#This Row],[Attrition]]="Yes",1,0)</f>
        <v>0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t="s">
        <v>35</v>
      </c>
      <c r="C1377">
        <f>IF(HR_analytics[[#This Row],[Attrition]]="Yes",1,0)</f>
        <v>1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3">
      <c r="A1378">
        <v>38</v>
      </c>
      <c r="B1378" t="s">
        <v>43</v>
      </c>
      <c r="C1378">
        <f>IF(HR_analytics[[#This Row],[Attrition]]="Yes",1,0)</f>
        <v>0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3">
      <c r="A1379">
        <v>49</v>
      </c>
      <c r="B1379" t="s">
        <v>43</v>
      </c>
      <c r="C1379">
        <f>IF(HR_analytics[[#This Row],[Attrition]]="Yes",1,0)</f>
        <v>0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3">
      <c r="A1380">
        <v>42</v>
      </c>
      <c r="B1380" t="s">
        <v>43</v>
      </c>
      <c r="C1380">
        <f>IF(HR_analytics[[#This Row],[Attrition]]="Yes",1,0)</f>
        <v>0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t="s">
        <v>35</v>
      </c>
      <c r="C1381">
        <f>IF(HR_analytics[[#This Row],[Attrition]]="Yes",1,0)</f>
        <v>1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3">
      <c r="A1382">
        <v>35</v>
      </c>
      <c r="B1382" t="s">
        <v>43</v>
      </c>
      <c r="C1382">
        <f>IF(HR_analytics[[#This Row],[Attrition]]="Yes",1,0)</f>
        <v>0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3">
      <c r="A1383">
        <v>28</v>
      </c>
      <c r="B1383" t="s">
        <v>43</v>
      </c>
      <c r="C1383">
        <f>IF(HR_analytics[[#This Row],[Attrition]]="Yes",1,0)</f>
        <v>0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3">
      <c r="A1384">
        <v>31</v>
      </c>
      <c r="B1384" t="s">
        <v>43</v>
      </c>
      <c r="C1384">
        <f>IF(HR_analytics[[#This Row],[Attrition]]="Yes",1,0)</f>
        <v>0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3">
      <c r="A1385">
        <v>36</v>
      </c>
      <c r="B1385" t="s">
        <v>43</v>
      </c>
      <c r="C1385">
        <f>IF(HR_analytics[[#This Row],[Attrition]]="Yes",1,0)</f>
        <v>0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3">
      <c r="A1386">
        <v>34</v>
      </c>
      <c r="B1386" t="s">
        <v>43</v>
      </c>
      <c r="C1386">
        <f>IF(HR_analytics[[#This Row],[Attrition]]="Yes",1,0)</f>
        <v>0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3">
      <c r="A1387">
        <v>34</v>
      </c>
      <c r="B1387" t="s">
        <v>43</v>
      </c>
      <c r="C1387">
        <f>IF(HR_analytics[[#This Row],[Attrition]]="Yes",1,0)</f>
        <v>0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3">
      <c r="A1388">
        <v>26</v>
      </c>
      <c r="B1388" t="s">
        <v>43</v>
      </c>
      <c r="C1388">
        <f>IF(HR_analytics[[#This Row],[Attrition]]="Yes",1,0)</f>
        <v>0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3">
      <c r="A1389">
        <v>29</v>
      </c>
      <c r="B1389" t="s">
        <v>43</v>
      </c>
      <c r="C1389">
        <f>IF(HR_analytics[[#This Row],[Attrition]]="Yes",1,0)</f>
        <v>0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3">
      <c r="A1390">
        <v>32</v>
      </c>
      <c r="B1390" t="s">
        <v>43</v>
      </c>
      <c r="C1390">
        <f>IF(HR_analytics[[#This Row],[Attrition]]="Yes",1,0)</f>
        <v>0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3">
      <c r="A1391">
        <v>31</v>
      </c>
      <c r="B1391" t="s">
        <v>43</v>
      </c>
      <c r="C1391">
        <f>IF(HR_analytics[[#This Row],[Attrition]]="Yes",1,0)</f>
        <v>0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3">
      <c r="A1392">
        <v>28</v>
      </c>
      <c r="B1392" t="s">
        <v>35</v>
      </c>
      <c r="C1392">
        <f>IF(HR_analytics[[#This Row],[Attrition]]="Yes",1,0)</f>
        <v>1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3">
      <c r="A1393">
        <v>38</v>
      </c>
      <c r="B1393" t="s">
        <v>43</v>
      </c>
      <c r="C1393">
        <f>IF(HR_analytics[[#This Row],[Attrition]]="Yes",1,0)</f>
        <v>0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t="s">
        <v>43</v>
      </c>
      <c r="C1394">
        <f>IF(HR_analytics[[#This Row],[Attrition]]="Yes",1,0)</f>
        <v>0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3">
      <c r="A1395">
        <v>27</v>
      </c>
      <c r="B1395" t="s">
        <v>43</v>
      </c>
      <c r="C1395">
        <f>IF(HR_analytics[[#This Row],[Attrition]]="Yes",1,0)</f>
        <v>0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3">
      <c r="A1396">
        <v>32</v>
      </c>
      <c r="B1396" t="s">
        <v>43</v>
      </c>
      <c r="C1396">
        <f>IF(HR_analytics[[#This Row],[Attrition]]="Yes",1,0)</f>
        <v>0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t="s">
        <v>35</v>
      </c>
      <c r="C1397">
        <f>IF(HR_analytics[[#This Row],[Attrition]]="Yes",1,0)</f>
        <v>1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3">
      <c r="A1398">
        <v>53</v>
      </c>
      <c r="B1398" t="s">
        <v>35</v>
      </c>
      <c r="C1398">
        <f>IF(HR_analytics[[#This Row],[Attrition]]="Yes",1,0)</f>
        <v>1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3">
      <c r="A1399">
        <v>54</v>
      </c>
      <c r="B1399" t="s">
        <v>43</v>
      </c>
      <c r="C1399">
        <f>IF(HR_analytics[[#This Row],[Attrition]]="Yes",1,0)</f>
        <v>0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3">
      <c r="A1400">
        <v>33</v>
      </c>
      <c r="B1400" t="s">
        <v>43</v>
      </c>
      <c r="C1400">
        <f>IF(HR_analytics[[#This Row],[Attrition]]="Yes",1,0)</f>
        <v>0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3">
      <c r="A1401">
        <v>43</v>
      </c>
      <c r="B1401" t="s">
        <v>43</v>
      </c>
      <c r="C1401">
        <f>IF(HR_analytics[[#This Row],[Attrition]]="Yes",1,0)</f>
        <v>0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3">
      <c r="A1402">
        <v>38</v>
      </c>
      <c r="B1402" t="s">
        <v>43</v>
      </c>
      <c r="C1402">
        <f>IF(HR_analytics[[#This Row],[Attrition]]="Yes",1,0)</f>
        <v>0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3">
      <c r="A1403">
        <v>55</v>
      </c>
      <c r="B1403" t="s">
        <v>43</v>
      </c>
      <c r="C1403">
        <f>IF(HR_analytics[[#This Row],[Attrition]]="Yes",1,0)</f>
        <v>0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3">
      <c r="A1404">
        <v>31</v>
      </c>
      <c r="B1404" t="s">
        <v>43</v>
      </c>
      <c r="C1404">
        <f>IF(HR_analytics[[#This Row],[Attrition]]="Yes",1,0)</f>
        <v>0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t="s">
        <v>43</v>
      </c>
      <c r="C1405">
        <f>IF(HR_analytics[[#This Row],[Attrition]]="Yes",1,0)</f>
        <v>0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3">
      <c r="A1406">
        <v>42</v>
      </c>
      <c r="B1406" t="s">
        <v>43</v>
      </c>
      <c r="C1406">
        <f>IF(HR_analytics[[#This Row],[Attrition]]="Yes",1,0)</f>
        <v>0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3">
      <c r="A1407">
        <v>31</v>
      </c>
      <c r="B1407" t="s">
        <v>43</v>
      </c>
      <c r="C1407">
        <f>IF(HR_analytics[[#This Row],[Attrition]]="Yes",1,0)</f>
        <v>0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3">
      <c r="A1408">
        <v>54</v>
      </c>
      <c r="B1408" t="s">
        <v>43</v>
      </c>
      <c r="C1408">
        <f>IF(HR_analytics[[#This Row],[Attrition]]="Yes",1,0)</f>
        <v>0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3">
      <c r="A1409">
        <v>24</v>
      </c>
      <c r="B1409" t="s">
        <v>43</v>
      </c>
      <c r="C1409">
        <f>IF(HR_analytics[[#This Row],[Attrition]]="Yes",1,0)</f>
        <v>0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3">
      <c r="A1410">
        <v>23</v>
      </c>
      <c r="B1410" t="s">
        <v>43</v>
      </c>
      <c r="C1410">
        <f>IF(HR_analytics[[#This Row],[Attrition]]="Yes",1,0)</f>
        <v>0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3">
      <c r="A1411">
        <v>40</v>
      </c>
      <c r="B1411" t="s">
        <v>43</v>
      </c>
      <c r="C1411">
        <f>IF(HR_analytics[[#This Row],[Attrition]]="Yes",1,0)</f>
        <v>0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3">
      <c r="A1412">
        <v>40</v>
      </c>
      <c r="B1412" t="s">
        <v>43</v>
      </c>
      <c r="C1412">
        <f>IF(HR_analytics[[#This Row],[Attrition]]="Yes",1,0)</f>
        <v>0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3">
      <c r="A1413">
        <v>25</v>
      </c>
      <c r="B1413" t="s">
        <v>43</v>
      </c>
      <c r="C1413">
        <f>IF(HR_analytics[[#This Row],[Attrition]]="Yes",1,0)</f>
        <v>0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3">
      <c r="A1414">
        <v>30</v>
      </c>
      <c r="B1414" t="s">
        <v>43</v>
      </c>
      <c r="C1414">
        <f>IF(HR_analytics[[#This Row],[Attrition]]="Yes",1,0)</f>
        <v>0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3">
      <c r="A1415">
        <v>25</v>
      </c>
      <c r="B1415" t="s">
        <v>43</v>
      </c>
      <c r="C1415">
        <f>IF(HR_analytics[[#This Row],[Attrition]]="Yes",1,0)</f>
        <v>0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3">
      <c r="A1416">
        <v>47</v>
      </c>
      <c r="B1416" t="s">
        <v>43</v>
      </c>
      <c r="C1416">
        <f>IF(HR_analytics[[#This Row],[Attrition]]="Yes",1,0)</f>
        <v>0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3">
      <c r="A1417">
        <v>33</v>
      </c>
      <c r="B1417" t="s">
        <v>43</v>
      </c>
      <c r="C1417">
        <f>IF(HR_analytics[[#This Row],[Attrition]]="Yes",1,0)</f>
        <v>0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3">
      <c r="A1418">
        <v>38</v>
      </c>
      <c r="B1418" t="s">
        <v>43</v>
      </c>
      <c r="C1418">
        <f>IF(HR_analytics[[#This Row],[Attrition]]="Yes",1,0)</f>
        <v>0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3">
      <c r="A1419">
        <v>31</v>
      </c>
      <c r="B1419" t="s">
        <v>43</v>
      </c>
      <c r="C1419">
        <f>IF(HR_analytics[[#This Row],[Attrition]]="Yes",1,0)</f>
        <v>0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3">
      <c r="A1420">
        <v>38</v>
      </c>
      <c r="B1420" t="s">
        <v>43</v>
      </c>
      <c r="C1420">
        <f>IF(HR_analytics[[#This Row],[Attrition]]="Yes",1,0)</f>
        <v>0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3">
      <c r="A1421">
        <v>42</v>
      </c>
      <c r="B1421" t="s">
        <v>43</v>
      </c>
      <c r="C1421">
        <f>IF(HR_analytics[[#This Row],[Attrition]]="Yes",1,0)</f>
        <v>0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3">
      <c r="A1422">
        <v>41</v>
      </c>
      <c r="B1422" t="s">
        <v>43</v>
      </c>
      <c r="C1422">
        <f>IF(HR_analytics[[#This Row],[Attrition]]="Yes",1,0)</f>
        <v>0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3">
      <c r="A1423">
        <v>47</v>
      </c>
      <c r="B1423" t="s">
        <v>43</v>
      </c>
      <c r="C1423">
        <f>IF(HR_analytics[[#This Row],[Attrition]]="Yes",1,0)</f>
        <v>0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3">
      <c r="A1424">
        <v>35</v>
      </c>
      <c r="B1424" t="s">
        <v>43</v>
      </c>
      <c r="C1424">
        <f>IF(HR_analytics[[#This Row],[Attrition]]="Yes",1,0)</f>
        <v>0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3">
      <c r="A1425">
        <v>22</v>
      </c>
      <c r="B1425" t="s">
        <v>43</v>
      </c>
      <c r="C1425">
        <f>IF(HR_analytics[[#This Row],[Attrition]]="Yes",1,0)</f>
        <v>0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3">
      <c r="A1426">
        <v>35</v>
      </c>
      <c r="B1426" t="s">
        <v>43</v>
      </c>
      <c r="C1426">
        <f>IF(HR_analytics[[#This Row],[Attrition]]="Yes",1,0)</f>
        <v>0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3">
      <c r="A1427">
        <v>33</v>
      </c>
      <c r="B1427" t="s">
        <v>43</v>
      </c>
      <c r="C1427">
        <f>IF(HR_analytics[[#This Row],[Attrition]]="Yes",1,0)</f>
        <v>0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3">
      <c r="A1428">
        <v>32</v>
      </c>
      <c r="B1428" t="s">
        <v>43</v>
      </c>
      <c r="C1428">
        <f>IF(HR_analytics[[#This Row],[Attrition]]="Yes",1,0)</f>
        <v>0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3">
      <c r="A1429">
        <v>40</v>
      </c>
      <c r="B1429" t="s">
        <v>43</v>
      </c>
      <c r="C1429">
        <f>IF(HR_analytics[[#This Row],[Attrition]]="Yes",1,0)</f>
        <v>0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t="s">
        <v>43</v>
      </c>
      <c r="C1430">
        <f>IF(HR_analytics[[#This Row],[Attrition]]="Yes",1,0)</f>
        <v>0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3">
      <c r="A1431">
        <v>39</v>
      </c>
      <c r="B1431" t="s">
        <v>43</v>
      </c>
      <c r="C1431">
        <f>IF(HR_analytics[[#This Row],[Attrition]]="Yes",1,0)</f>
        <v>0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3">
      <c r="A1432">
        <v>38</v>
      </c>
      <c r="B1432" t="s">
        <v>43</v>
      </c>
      <c r="C1432">
        <f>IF(HR_analytics[[#This Row],[Attrition]]="Yes",1,0)</f>
        <v>0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3">
      <c r="A1433">
        <v>32</v>
      </c>
      <c r="B1433" t="s">
        <v>43</v>
      </c>
      <c r="C1433">
        <f>IF(HR_analytics[[#This Row],[Attrition]]="Yes",1,0)</f>
        <v>0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3">
      <c r="A1434">
        <v>37</v>
      </c>
      <c r="B1434" t="s">
        <v>43</v>
      </c>
      <c r="C1434">
        <f>IF(HR_analytics[[#This Row],[Attrition]]="Yes",1,0)</f>
        <v>0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3">
      <c r="A1435">
        <v>25</v>
      </c>
      <c r="B1435" t="s">
        <v>43</v>
      </c>
      <c r="C1435">
        <f>IF(HR_analytics[[#This Row],[Attrition]]="Yes",1,0)</f>
        <v>0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3">
      <c r="A1436">
        <v>52</v>
      </c>
      <c r="B1436" t="s">
        <v>43</v>
      </c>
      <c r="C1436">
        <f>IF(HR_analytics[[#This Row],[Attrition]]="Yes",1,0)</f>
        <v>0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3">
      <c r="A1437">
        <v>44</v>
      </c>
      <c r="B1437" t="s">
        <v>43</v>
      </c>
      <c r="C1437">
        <f>IF(HR_analytics[[#This Row],[Attrition]]="Yes",1,0)</f>
        <v>0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3">
      <c r="A1438">
        <v>21</v>
      </c>
      <c r="B1438" t="s">
        <v>43</v>
      </c>
      <c r="C1438">
        <f>IF(HR_analytics[[#This Row],[Attrition]]="Yes",1,0)</f>
        <v>0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3">
      <c r="A1439">
        <v>39</v>
      </c>
      <c r="B1439" t="s">
        <v>43</v>
      </c>
      <c r="C1439">
        <f>IF(HR_analytics[[#This Row],[Attrition]]="Yes",1,0)</f>
        <v>0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3">
      <c r="A1440">
        <v>23</v>
      </c>
      <c r="B1440" t="s">
        <v>35</v>
      </c>
      <c r="C1440">
        <f>IF(HR_analytics[[#This Row],[Attrition]]="Yes",1,0)</f>
        <v>1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3">
      <c r="A1441">
        <v>36</v>
      </c>
      <c r="B1441" t="s">
        <v>43</v>
      </c>
      <c r="C1441">
        <f>IF(HR_analytics[[#This Row],[Attrition]]="Yes",1,0)</f>
        <v>0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3">
      <c r="A1442">
        <v>36</v>
      </c>
      <c r="B1442" t="s">
        <v>43</v>
      </c>
      <c r="C1442">
        <f>IF(HR_analytics[[#This Row],[Attrition]]="Yes",1,0)</f>
        <v>0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3">
      <c r="A1443">
        <v>56</v>
      </c>
      <c r="B1443" t="s">
        <v>43</v>
      </c>
      <c r="C1443">
        <f>IF(HR_analytics[[#This Row],[Attrition]]="Yes",1,0)</f>
        <v>0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3">
      <c r="A1444">
        <v>29</v>
      </c>
      <c r="B1444" t="s">
        <v>35</v>
      </c>
      <c r="C1444">
        <f>IF(HR_analytics[[#This Row],[Attrition]]="Yes",1,0)</f>
        <v>1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3">
      <c r="A1445">
        <v>42</v>
      </c>
      <c r="B1445" t="s">
        <v>43</v>
      </c>
      <c r="C1445">
        <f>IF(HR_analytics[[#This Row],[Attrition]]="Yes",1,0)</f>
        <v>0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3">
      <c r="A1446">
        <v>56</v>
      </c>
      <c r="B1446" t="s">
        <v>35</v>
      </c>
      <c r="C1446">
        <f>IF(HR_analytics[[#This Row],[Attrition]]="Yes",1,0)</f>
        <v>1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3">
      <c r="A1447">
        <v>41</v>
      </c>
      <c r="B1447" t="s">
        <v>43</v>
      </c>
      <c r="C1447">
        <f>IF(HR_analytics[[#This Row],[Attrition]]="Yes",1,0)</f>
        <v>0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3">
      <c r="A1448">
        <v>34</v>
      </c>
      <c r="B1448" t="s">
        <v>43</v>
      </c>
      <c r="C1448">
        <f>IF(HR_analytics[[#This Row],[Attrition]]="Yes",1,0)</f>
        <v>0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3">
      <c r="A1449">
        <v>36</v>
      </c>
      <c r="B1449" t="s">
        <v>43</v>
      </c>
      <c r="C1449">
        <f>IF(HR_analytics[[#This Row],[Attrition]]="Yes",1,0)</f>
        <v>0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3">
      <c r="A1450">
        <v>41</v>
      </c>
      <c r="B1450" t="s">
        <v>43</v>
      </c>
      <c r="C1450">
        <f>IF(HR_analytics[[#This Row],[Attrition]]="Yes",1,0)</f>
        <v>0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3">
      <c r="A1451">
        <v>32</v>
      </c>
      <c r="B1451" t="s">
        <v>43</v>
      </c>
      <c r="C1451">
        <f>IF(HR_analytics[[#This Row],[Attrition]]="Yes",1,0)</f>
        <v>0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3">
      <c r="A1452">
        <v>35</v>
      </c>
      <c r="B1452" t="s">
        <v>43</v>
      </c>
      <c r="C1452">
        <f>IF(HR_analytics[[#This Row],[Attrition]]="Yes",1,0)</f>
        <v>0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3">
      <c r="A1453">
        <v>38</v>
      </c>
      <c r="B1453" t="s">
        <v>43</v>
      </c>
      <c r="C1453">
        <f>IF(HR_analytics[[#This Row],[Attrition]]="Yes",1,0)</f>
        <v>0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3">
      <c r="A1454">
        <v>50</v>
      </c>
      <c r="B1454" t="s">
        <v>35</v>
      </c>
      <c r="C1454">
        <f>IF(HR_analytics[[#This Row],[Attrition]]="Yes",1,0)</f>
        <v>1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3">
      <c r="A1455">
        <v>36</v>
      </c>
      <c r="B1455" t="s">
        <v>43</v>
      </c>
      <c r="C1455">
        <f>IF(HR_analytics[[#This Row],[Attrition]]="Yes",1,0)</f>
        <v>0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3">
      <c r="A1456">
        <v>45</v>
      </c>
      <c r="B1456" t="s">
        <v>43</v>
      </c>
      <c r="C1456">
        <f>IF(HR_analytics[[#This Row],[Attrition]]="Yes",1,0)</f>
        <v>0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3">
      <c r="A1457">
        <v>40</v>
      </c>
      <c r="B1457" t="s">
        <v>43</v>
      </c>
      <c r="C1457">
        <f>IF(HR_analytics[[#This Row],[Attrition]]="Yes",1,0)</f>
        <v>0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3">
      <c r="A1458">
        <v>35</v>
      </c>
      <c r="B1458" t="s">
        <v>43</v>
      </c>
      <c r="C1458">
        <f>IF(HR_analytics[[#This Row],[Attrition]]="Yes",1,0)</f>
        <v>0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3">
      <c r="A1459">
        <v>40</v>
      </c>
      <c r="B1459" t="s">
        <v>43</v>
      </c>
      <c r="C1459">
        <f>IF(HR_analytics[[#This Row],[Attrition]]="Yes",1,0)</f>
        <v>0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3">
      <c r="A1460">
        <v>35</v>
      </c>
      <c r="B1460" t="s">
        <v>43</v>
      </c>
      <c r="C1460">
        <f>IF(HR_analytics[[#This Row],[Attrition]]="Yes",1,0)</f>
        <v>0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3">
      <c r="A1461">
        <v>29</v>
      </c>
      <c r="B1461" t="s">
        <v>43</v>
      </c>
      <c r="C1461">
        <f>IF(HR_analytics[[#This Row],[Attrition]]="Yes",1,0)</f>
        <v>0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3">
      <c r="A1462">
        <v>29</v>
      </c>
      <c r="B1462" t="s">
        <v>43</v>
      </c>
      <c r="C1462">
        <f>IF(HR_analytics[[#This Row],[Attrition]]="Yes",1,0)</f>
        <v>0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3">
      <c r="A1463">
        <v>50</v>
      </c>
      <c r="B1463" t="s">
        <v>35</v>
      </c>
      <c r="C1463">
        <f>IF(HR_analytics[[#This Row],[Attrition]]="Yes",1,0)</f>
        <v>1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3">
      <c r="A1464">
        <v>39</v>
      </c>
      <c r="B1464" t="s">
        <v>43</v>
      </c>
      <c r="C1464">
        <f>IF(HR_analytics[[#This Row],[Attrition]]="Yes",1,0)</f>
        <v>0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3">
      <c r="A1465">
        <v>31</v>
      </c>
      <c r="B1465" t="s">
        <v>43</v>
      </c>
      <c r="C1465">
        <f>IF(HR_analytics[[#This Row],[Attrition]]="Yes",1,0)</f>
        <v>0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3">
      <c r="A1466">
        <v>26</v>
      </c>
      <c r="B1466" t="s">
        <v>43</v>
      </c>
      <c r="C1466">
        <f>IF(HR_analytics[[#This Row],[Attrition]]="Yes",1,0)</f>
        <v>0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3">
      <c r="A1467">
        <v>36</v>
      </c>
      <c r="B1467" t="s">
        <v>43</v>
      </c>
      <c r="C1467">
        <f>IF(HR_analytics[[#This Row],[Attrition]]="Yes",1,0)</f>
        <v>0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3">
      <c r="A1468">
        <v>39</v>
      </c>
      <c r="B1468" t="s">
        <v>43</v>
      </c>
      <c r="C1468">
        <f>IF(HR_analytics[[#This Row],[Attrition]]="Yes",1,0)</f>
        <v>0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3">
      <c r="A1469">
        <v>27</v>
      </c>
      <c r="B1469" t="s">
        <v>43</v>
      </c>
      <c r="C1469">
        <f>IF(HR_analytics[[#This Row],[Attrition]]="Yes",1,0)</f>
        <v>0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3">
      <c r="A1470">
        <v>49</v>
      </c>
      <c r="B1470" t="s">
        <v>43</v>
      </c>
      <c r="C1470">
        <f>IF(HR_analytics[[#This Row],[Attrition]]="Yes",1,0)</f>
        <v>0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3">
      <c r="A1471">
        <v>34</v>
      </c>
      <c r="B1471" t="s">
        <v>43</v>
      </c>
      <c r="C1471">
        <f>IF(HR_analytics[[#This Row],[Attrition]]="Yes",1,0)</f>
        <v>0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3BA7-1487-4B8D-9DC5-E3BC133F1C15}">
  <dimension ref="B1:AP19"/>
  <sheetViews>
    <sheetView showGridLines="0" workbookViewId="0">
      <selection activeCell="E6" sqref="E2:H9"/>
    </sheetView>
  </sheetViews>
  <sheetFormatPr defaultRowHeight="14.4" x14ac:dyDescent="0.3"/>
  <cols>
    <col min="2" max="2" width="46.5546875" customWidth="1"/>
    <col min="3" max="3" width="8.88671875" customWidth="1"/>
    <col min="4" max="4" width="17.5546875" customWidth="1"/>
    <col min="5" max="5" width="21.88671875" bestFit="1" customWidth="1"/>
    <col min="6" max="6" width="15.5546875" bestFit="1" customWidth="1"/>
    <col min="7" max="7" width="7" bestFit="1" customWidth="1"/>
    <col min="8" max="8" width="10.77734375" bestFit="1" customWidth="1"/>
    <col min="9" max="9" width="26.44140625" customWidth="1"/>
    <col min="10" max="10" width="12.5546875" bestFit="1" customWidth="1"/>
    <col min="11" max="11" width="13.88671875" bestFit="1" customWidth="1"/>
    <col min="12" max="12" width="10.77734375" bestFit="1" customWidth="1"/>
    <col min="13" max="13" width="22.88671875" bestFit="1" customWidth="1"/>
    <col min="14" max="14" width="23.5546875" bestFit="1" customWidth="1"/>
    <col min="16" max="16" width="22.5546875" bestFit="1" customWidth="1"/>
    <col min="17" max="17" width="15.5546875" bestFit="1" customWidth="1"/>
    <col min="18" max="18" width="6.5546875" bestFit="1" customWidth="1"/>
    <col min="19" max="19" width="10.77734375" bestFit="1" customWidth="1"/>
    <col min="21" max="21" width="12.5546875" bestFit="1" customWidth="1"/>
    <col min="22" max="22" width="24.44140625" bestFit="1" customWidth="1"/>
    <col min="34" max="34" width="12.5546875" bestFit="1" customWidth="1"/>
    <col min="35" max="35" width="24.33203125" bestFit="1" customWidth="1"/>
    <col min="37" max="37" width="12.5546875" bestFit="1" customWidth="1"/>
    <col min="38" max="38" width="24.33203125" bestFit="1" customWidth="1"/>
    <col min="40" max="40" width="9.5546875" bestFit="1" customWidth="1"/>
    <col min="42" max="42" width="23.5546875" customWidth="1"/>
  </cols>
  <sheetData>
    <row r="1" spans="2:42" ht="15" thickBot="1" x14ac:dyDescent="0.35"/>
    <row r="2" spans="2:42" x14ac:dyDescent="0.3">
      <c r="B2" s="1" t="s">
        <v>85</v>
      </c>
      <c r="C2" s="2"/>
      <c r="E2" s="1" t="s">
        <v>84</v>
      </c>
      <c r="F2" s="9"/>
      <c r="G2" s="9"/>
      <c r="H2" s="2"/>
      <c r="J2" s="1" t="s">
        <v>83</v>
      </c>
      <c r="K2" s="2"/>
      <c r="M2" s="1" t="s">
        <v>82</v>
      </c>
      <c r="N2" s="2"/>
      <c r="P2" s="23" t="s">
        <v>81</v>
      </c>
      <c r="Q2" s="24"/>
      <c r="R2" s="24"/>
      <c r="S2" s="25"/>
      <c r="U2" s="1" t="s">
        <v>80</v>
      </c>
      <c r="V2" s="2"/>
      <c r="X2" s="1" t="s">
        <v>79</v>
      </c>
      <c r="Y2" s="9"/>
      <c r="Z2" s="9"/>
      <c r="AA2" s="9"/>
      <c r="AB2" s="9"/>
      <c r="AC2" s="9"/>
      <c r="AD2" s="2"/>
      <c r="AH2" s="1" t="s">
        <v>78</v>
      </c>
      <c r="AI2" s="2"/>
      <c r="AK2" s="1" t="s">
        <v>77</v>
      </c>
      <c r="AL2" s="2"/>
      <c r="AN2" s="1" t="s">
        <v>76</v>
      </c>
      <c r="AO2" s="9"/>
      <c r="AP2" s="2"/>
    </row>
    <row r="3" spans="2:42" x14ac:dyDescent="0.3">
      <c r="B3" s="3"/>
      <c r="C3" s="4"/>
      <c r="E3" s="3"/>
      <c r="F3" s="10"/>
      <c r="G3" s="10"/>
      <c r="H3" s="4"/>
      <c r="J3" s="3"/>
      <c r="K3" s="4"/>
      <c r="M3" s="3"/>
      <c r="N3" s="4"/>
      <c r="P3" s="26"/>
      <c r="Q3" s="27"/>
      <c r="R3" s="27"/>
      <c r="S3" s="28"/>
      <c r="U3" s="3"/>
      <c r="V3" s="4"/>
      <c r="X3" s="3"/>
      <c r="Y3" s="10"/>
      <c r="Z3" s="10"/>
      <c r="AA3" s="10"/>
      <c r="AB3" s="10"/>
      <c r="AC3" s="10"/>
      <c r="AD3" s="4"/>
      <c r="AH3" s="3"/>
      <c r="AI3" s="4"/>
      <c r="AK3" s="3"/>
      <c r="AL3" s="4"/>
      <c r="AN3" s="3"/>
      <c r="AO3" s="10"/>
      <c r="AP3" s="4"/>
    </row>
    <row r="4" spans="2:42" ht="15" thickBot="1" x14ac:dyDescent="0.35">
      <c r="B4" s="5" t="s">
        <v>62</v>
      </c>
      <c r="C4" s="6">
        <f>COUNTIF(HR_analytics[Attrition],"Yes")</f>
        <v>237</v>
      </c>
      <c r="E4" s="11" t="s">
        <v>67</v>
      </c>
      <c r="F4" s="12" t="s">
        <v>68</v>
      </c>
      <c r="G4" s="13"/>
      <c r="H4" s="14"/>
      <c r="J4" s="11" t="s">
        <v>65</v>
      </c>
      <c r="K4" s="14" t="s">
        <v>69</v>
      </c>
      <c r="M4" s="11" t="s">
        <v>65</v>
      </c>
      <c r="N4" s="14" t="s">
        <v>70</v>
      </c>
      <c r="P4" s="11" t="s">
        <v>71</v>
      </c>
      <c r="Q4" s="12" t="s">
        <v>68</v>
      </c>
      <c r="R4" s="13"/>
      <c r="S4" s="14"/>
      <c r="U4" s="11" t="s">
        <v>65</v>
      </c>
      <c r="V4" s="14" t="s">
        <v>73</v>
      </c>
      <c r="X4" s="30"/>
      <c r="Y4" s="13"/>
      <c r="Z4" s="13"/>
      <c r="AA4" s="13"/>
      <c r="AB4" s="13"/>
      <c r="AC4" s="13"/>
      <c r="AD4" s="14"/>
      <c r="AH4" s="11" t="s">
        <v>65</v>
      </c>
      <c r="AI4" s="14" t="s">
        <v>75</v>
      </c>
      <c r="AK4" s="11" t="s">
        <v>65</v>
      </c>
      <c r="AL4" s="14" t="s">
        <v>75</v>
      </c>
      <c r="AN4" s="37">
        <f>AVERAGE(HR_analytics[YearsAtCompany])</f>
        <v>7.0081632653061225</v>
      </c>
      <c r="AO4" s="38"/>
      <c r="AP4" s="39"/>
    </row>
    <row r="5" spans="2:42" x14ac:dyDescent="0.3">
      <c r="B5" s="5" t="s">
        <v>63</v>
      </c>
      <c r="C5" s="6">
        <f>COUNTA(HR_analytics[Age])</f>
        <v>1470</v>
      </c>
      <c r="E5" s="11" t="s">
        <v>65</v>
      </c>
      <c r="F5" s="13" t="s">
        <v>43</v>
      </c>
      <c r="G5" s="13" t="s">
        <v>35</v>
      </c>
      <c r="H5" s="14" t="s">
        <v>66</v>
      </c>
      <c r="J5" s="15" t="s">
        <v>35</v>
      </c>
      <c r="K5" s="21">
        <v>33.607594936708864</v>
      </c>
      <c r="M5" s="15" t="s">
        <v>54</v>
      </c>
      <c r="N5" s="21">
        <v>2.7862595419847329</v>
      </c>
      <c r="P5" s="11" t="s">
        <v>65</v>
      </c>
      <c r="Q5" s="13" t="s">
        <v>43</v>
      </c>
      <c r="R5" s="13" t="s">
        <v>35</v>
      </c>
      <c r="S5" s="14" t="s">
        <v>66</v>
      </c>
      <c r="U5" s="15" t="s">
        <v>35</v>
      </c>
      <c r="V5" s="21">
        <v>4787.0928270042195</v>
      </c>
      <c r="X5" s="30"/>
      <c r="Y5" s="13"/>
      <c r="Z5" s="13"/>
      <c r="AA5" s="13"/>
      <c r="AB5" s="13"/>
      <c r="AC5" s="13"/>
      <c r="AD5" s="14"/>
      <c r="AH5" s="15">
        <v>3</v>
      </c>
      <c r="AI5" s="35">
        <v>1244</v>
      </c>
      <c r="AK5" s="15" t="s">
        <v>43</v>
      </c>
      <c r="AL5" s="35">
        <v>1054</v>
      </c>
    </row>
    <row r="6" spans="2:42" ht="15" thickBot="1" x14ac:dyDescent="0.35">
      <c r="B6" s="7" t="s">
        <v>64</v>
      </c>
      <c r="C6" s="8">
        <f>C4/C5</f>
        <v>0.16122448979591836</v>
      </c>
      <c r="E6" s="15" t="s">
        <v>61</v>
      </c>
      <c r="F6" s="16">
        <v>0.80952380952380953</v>
      </c>
      <c r="G6" s="16">
        <v>0.19047619047619047</v>
      </c>
      <c r="H6" s="17">
        <v>1</v>
      </c>
      <c r="J6" s="18" t="s">
        <v>66</v>
      </c>
      <c r="K6" s="22">
        <v>33.607594936708864</v>
      </c>
      <c r="M6" s="15" t="s">
        <v>61</v>
      </c>
      <c r="N6" s="21">
        <v>2.5576923076923075</v>
      </c>
      <c r="P6" s="15" t="s">
        <v>39</v>
      </c>
      <c r="Q6" s="29">
        <v>501</v>
      </c>
      <c r="R6" s="29">
        <v>87</v>
      </c>
      <c r="S6" s="21">
        <v>588</v>
      </c>
      <c r="U6" s="18" t="s">
        <v>66</v>
      </c>
      <c r="V6" s="22">
        <v>4787.0928270042195</v>
      </c>
      <c r="X6" s="30"/>
      <c r="Y6" s="13"/>
      <c r="Z6" s="13"/>
      <c r="AA6" s="13"/>
      <c r="AB6" s="13"/>
      <c r="AC6" s="13"/>
      <c r="AD6" s="14"/>
      <c r="AH6" s="15">
        <v>4</v>
      </c>
      <c r="AI6" s="35">
        <v>226</v>
      </c>
      <c r="AK6" s="15" t="s">
        <v>35</v>
      </c>
      <c r="AL6" s="35">
        <v>416</v>
      </c>
    </row>
    <row r="7" spans="2:42" ht="15" thickBot="1" x14ac:dyDescent="0.35">
      <c r="E7" s="15" t="s">
        <v>45</v>
      </c>
      <c r="F7" s="16">
        <v>0.86160249739854322</v>
      </c>
      <c r="G7" s="16">
        <v>0.13839750260145681</v>
      </c>
      <c r="H7" s="17">
        <v>1</v>
      </c>
      <c r="M7" s="15" t="s">
        <v>50</v>
      </c>
      <c r="N7" s="21">
        <v>2.6911196911196913</v>
      </c>
      <c r="P7" s="15" t="s">
        <v>46</v>
      </c>
      <c r="Q7" s="29">
        <v>732</v>
      </c>
      <c r="R7" s="29">
        <v>150</v>
      </c>
      <c r="S7" s="21">
        <v>882</v>
      </c>
      <c r="X7" s="30"/>
      <c r="Y7" s="13"/>
      <c r="Z7" s="13"/>
      <c r="AA7" s="13"/>
      <c r="AB7" s="13"/>
      <c r="AC7" s="13"/>
      <c r="AD7" s="14"/>
      <c r="AH7" s="18" t="s">
        <v>66</v>
      </c>
      <c r="AI7" s="36">
        <v>1470</v>
      </c>
      <c r="AK7" s="18" t="s">
        <v>66</v>
      </c>
      <c r="AL7" s="36">
        <v>1470</v>
      </c>
    </row>
    <row r="8" spans="2:42" x14ac:dyDescent="0.3">
      <c r="E8" s="15" t="s">
        <v>37</v>
      </c>
      <c r="F8" s="16">
        <v>0.79372197309417036</v>
      </c>
      <c r="G8" s="16">
        <v>0.20627802690582961</v>
      </c>
      <c r="H8" s="17">
        <v>1</v>
      </c>
      <c r="M8" s="15" t="s">
        <v>56</v>
      </c>
      <c r="N8" s="21">
        <v>2.7058823529411766</v>
      </c>
      <c r="P8" s="15" t="s">
        <v>66</v>
      </c>
      <c r="Q8" s="29">
        <v>1233</v>
      </c>
      <c r="R8" s="29">
        <v>237</v>
      </c>
      <c r="S8" s="21">
        <v>1470</v>
      </c>
      <c r="X8" s="30"/>
      <c r="Y8" s="13"/>
      <c r="Z8" s="13"/>
      <c r="AA8" s="13"/>
      <c r="AB8" s="13"/>
      <c r="AC8" s="13"/>
      <c r="AD8" s="14"/>
    </row>
    <row r="9" spans="2:42" ht="15" thickBot="1" x14ac:dyDescent="0.35">
      <c r="E9" s="18" t="s">
        <v>66</v>
      </c>
      <c r="F9" s="19">
        <v>0.83877551020408159</v>
      </c>
      <c r="G9" s="19">
        <v>0.16122448979591836</v>
      </c>
      <c r="H9" s="20">
        <v>1</v>
      </c>
      <c r="M9" s="15" t="s">
        <v>53</v>
      </c>
      <c r="N9" s="21">
        <v>2.682758620689655</v>
      </c>
      <c r="P9" s="30"/>
      <c r="Q9" s="13"/>
      <c r="R9" s="13"/>
      <c r="S9" s="14"/>
      <c r="X9" s="30"/>
      <c r="Y9" s="13"/>
      <c r="Z9" s="13"/>
      <c r="AA9" s="13"/>
      <c r="AB9" s="13"/>
      <c r="AC9" s="13"/>
      <c r="AD9" s="14"/>
    </row>
    <row r="10" spans="2:42" ht="15" thickBot="1" x14ac:dyDescent="0.35">
      <c r="M10" s="15" t="s">
        <v>58</v>
      </c>
      <c r="N10" s="21">
        <v>2.7</v>
      </c>
      <c r="P10" s="18" t="s">
        <v>72</v>
      </c>
      <c r="Q10" s="31">
        <f>GETPIVOTDATA("EmployeeCount",$P$4,"Attrition","Yes","Gender","Male")/GETPIVOTDATA("EmployeeCount",$P$4)</f>
        <v>0.10204081632653061</v>
      </c>
      <c r="R10" s="32"/>
      <c r="S10" s="33"/>
      <c r="X10" s="30"/>
      <c r="Y10" s="13"/>
      <c r="Z10" s="13"/>
      <c r="AA10" s="13"/>
      <c r="AB10" s="13"/>
      <c r="AC10" s="13"/>
      <c r="AD10" s="14"/>
    </row>
    <row r="11" spans="2:42" x14ac:dyDescent="0.3">
      <c r="M11" s="15" t="s">
        <v>47</v>
      </c>
      <c r="N11" s="21">
        <v>2.7739726027397262</v>
      </c>
      <c r="X11" s="30"/>
      <c r="Y11" s="13"/>
      <c r="Z11" s="13"/>
      <c r="AA11" s="13"/>
      <c r="AB11" s="13"/>
      <c r="AC11" s="13"/>
      <c r="AD11" s="14"/>
    </row>
    <row r="12" spans="2:42" x14ac:dyDescent="0.3">
      <c r="M12" s="15" t="s">
        <v>40</v>
      </c>
      <c r="N12" s="21">
        <v>2.7546012269938651</v>
      </c>
      <c r="X12" s="30"/>
      <c r="Y12" s="13"/>
      <c r="Z12" s="13"/>
      <c r="AA12" s="13"/>
      <c r="AB12" s="13"/>
      <c r="AC12" s="13"/>
      <c r="AD12" s="14"/>
    </row>
    <row r="13" spans="2:42" x14ac:dyDescent="0.3">
      <c r="M13" s="15" t="s">
        <v>57</v>
      </c>
      <c r="N13" s="21">
        <v>2.7349397590361444</v>
      </c>
      <c r="X13" s="30"/>
      <c r="Y13" s="13"/>
      <c r="Z13" s="13"/>
      <c r="AA13" s="13"/>
      <c r="AB13" s="13"/>
      <c r="AC13" s="13"/>
      <c r="AD13" s="14"/>
    </row>
    <row r="14" spans="2:42" ht="15" thickBot="1" x14ac:dyDescent="0.35">
      <c r="M14" s="18" t="s">
        <v>66</v>
      </c>
      <c r="N14" s="22">
        <v>2.7285714285714286</v>
      </c>
      <c r="X14" s="30"/>
      <c r="Y14" s="13"/>
      <c r="Z14" s="13"/>
      <c r="AA14" s="13"/>
      <c r="AB14" s="13"/>
      <c r="AC14" s="13"/>
      <c r="AD14" s="14"/>
    </row>
    <row r="15" spans="2:42" x14ac:dyDescent="0.3">
      <c r="X15" s="30"/>
      <c r="Y15" s="13"/>
      <c r="Z15" s="13"/>
      <c r="AA15" s="13"/>
      <c r="AB15" s="13"/>
      <c r="AC15" s="13"/>
      <c r="AD15" s="14"/>
    </row>
    <row r="16" spans="2:42" x14ac:dyDescent="0.3">
      <c r="X16" s="30"/>
      <c r="Y16" s="13"/>
      <c r="Z16" s="13"/>
      <c r="AA16" s="13"/>
      <c r="AB16" s="13"/>
      <c r="AC16" s="13"/>
      <c r="AD16" s="14"/>
    </row>
    <row r="17" spans="24:30" x14ac:dyDescent="0.3">
      <c r="X17" s="30"/>
      <c r="Y17" s="13"/>
      <c r="Z17" s="13"/>
      <c r="AA17" s="13"/>
      <c r="AB17" s="13"/>
      <c r="AC17" s="13"/>
      <c r="AD17" s="14"/>
    </row>
    <row r="18" spans="24:30" x14ac:dyDescent="0.3">
      <c r="X18" s="30"/>
      <c r="Y18" s="13"/>
      <c r="Z18" s="13"/>
      <c r="AA18" s="13"/>
      <c r="AB18" s="13"/>
      <c r="AC18" s="13"/>
      <c r="AD18" s="14"/>
    </row>
    <row r="19" spans="24:30" ht="15" thickBot="1" x14ac:dyDescent="0.35">
      <c r="X19" s="34"/>
      <c r="Y19" s="32"/>
      <c r="Z19" s="32"/>
      <c r="AA19" s="32"/>
      <c r="AB19" s="32"/>
      <c r="AC19" s="32"/>
      <c r="AD19" s="33"/>
    </row>
  </sheetData>
  <mergeCells count="11">
    <mergeCell ref="U2:V3"/>
    <mergeCell ref="P2:S3"/>
    <mergeCell ref="M2:N3"/>
    <mergeCell ref="J2:K3"/>
    <mergeCell ref="E2:H3"/>
    <mergeCell ref="B2:C3"/>
    <mergeCell ref="AN4:AP4"/>
    <mergeCell ref="AN2:AP3"/>
    <mergeCell ref="AK2:AL3"/>
    <mergeCell ref="AH2:AI3"/>
    <mergeCell ref="X2:AD3"/>
  </mergeCell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9B41-9E76-42F8-A001-C0C824F449E1}">
  <dimension ref="B1:BJ19"/>
  <sheetViews>
    <sheetView showGridLines="0" tabSelected="1" workbookViewId="0">
      <selection activeCell="H25" sqref="H25"/>
    </sheetView>
  </sheetViews>
  <sheetFormatPr defaultRowHeight="14.4" x14ac:dyDescent="0.3"/>
  <cols>
    <col min="3" max="3" width="20.33203125" bestFit="1" customWidth="1"/>
    <col min="5" max="5" width="24.33203125" bestFit="1" customWidth="1"/>
    <col min="6" max="6" width="15.5546875" bestFit="1" customWidth="1"/>
    <col min="7" max="7" width="7" bestFit="1" customWidth="1"/>
    <col min="8" max="8" width="10.77734375" bestFit="1" customWidth="1"/>
    <col min="20" max="20" width="24.33203125" bestFit="1" customWidth="1"/>
    <col min="21" max="21" width="15.5546875" bestFit="1" customWidth="1"/>
    <col min="22" max="22" width="7" bestFit="1" customWidth="1"/>
    <col min="23" max="23" width="10.77734375" bestFit="1" customWidth="1"/>
    <col min="25" max="25" width="24.33203125" bestFit="1" customWidth="1"/>
    <col min="26" max="26" width="15.5546875" bestFit="1" customWidth="1"/>
    <col min="27" max="27" width="7" bestFit="1" customWidth="1"/>
    <col min="28" max="28" width="10.77734375" bestFit="1" customWidth="1"/>
    <col min="39" max="39" width="24.33203125" bestFit="1" customWidth="1"/>
    <col min="40" max="40" width="15.5546875" bestFit="1" customWidth="1"/>
    <col min="41" max="41" width="7" bestFit="1" customWidth="1"/>
    <col min="42" max="42" width="10.77734375" bestFit="1" customWidth="1"/>
    <col min="53" max="53" width="15.6640625" bestFit="1" customWidth="1"/>
    <col min="54" max="54" width="23.5546875" bestFit="1" customWidth="1"/>
    <col min="55" max="55" width="7" bestFit="1" customWidth="1"/>
    <col min="56" max="56" width="10.77734375" bestFit="1" customWidth="1"/>
  </cols>
  <sheetData>
    <row r="1" spans="2:62" ht="15" thickBot="1" x14ac:dyDescent="0.35"/>
    <row r="2" spans="2:62" ht="15.6" customHeight="1" x14ac:dyDescent="0.3">
      <c r="B2" s="1" t="s">
        <v>98</v>
      </c>
      <c r="C2" s="2"/>
      <c r="E2" s="1" t="s">
        <v>97</v>
      </c>
      <c r="F2" s="9"/>
      <c r="G2" s="9"/>
      <c r="H2" s="2"/>
      <c r="K2" s="1" t="s">
        <v>96</v>
      </c>
      <c r="L2" s="9"/>
      <c r="M2" s="9"/>
      <c r="N2" s="9"/>
      <c r="O2" s="9"/>
      <c r="P2" s="9"/>
      <c r="Q2" s="2"/>
      <c r="T2" s="1" t="s">
        <v>95</v>
      </c>
      <c r="U2" s="9"/>
      <c r="V2" s="9"/>
      <c r="W2" s="2"/>
      <c r="Y2" s="1" t="s">
        <v>94</v>
      </c>
      <c r="Z2" s="9"/>
      <c r="AA2" s="9"/>
      <c r="AB2" s="2"/>
      <c r="AD2" s="1" t="s">
        <v>93</v>
      </c>
      <c r="AE2" s="9"/>
      <c r="AF2" s="9"/>
      <c r="AG2" s="9"/>
      <c r="AH2" s="9"/>
      <c r="AI2" s="9"/>
      <c r="AJ2" s="2"/>
      <c r="AM2" s="23" t="s">
        <v>92</v>
      </c>
      <c r="AN2" s="56"/>
      <c r="AO2" s="56"/>
      <c r="AP2" s="57"/>
      <c r="AR2" s="1" t="s">
        <v>91</v>
      </c>
      <c r="AS2" s="9"/>
      <c r="AT2" s="9"/>
      <c r="AU2" s="9"/>
      <c r="AV2" s="9"/>
      <c r="AW2" s="9"/>
      <c r="AX2" s="2"/>
      <c r="BA2" s="1" t="s">
        <v>90</v>
      </c>
      <c r="BB2" s="2"/>
      <c r="BD2" s="1" t="s">
        <v>89</v>
      </c>
      <c r="BE2" s="9"/>
      <c r="BF2" s="9"/>
      <c r="BG2" s="9"/>
      <c r="BH2" s="9"/>
      <c r="BI2" s="9"/>
      <c r="BJ2" s="2"/>
    </row>
    <row r="3" spans="2:62" ht="15" thickBot="1" x14ac:dyDescent="0.35">
      <c r="B3" s="3"/>
      <c r="C3" s="4"/>
      <c r="E3" s="60"/>
      <c r="F3" s="54"/>
      <c r="G3" s="54"/>
      <c r="H3" s="61"/>
      <c r="K3" s="3"/>
      <c r="L3" s="10"/>
      <c r="M3" s="10"/>
      <c r="N3" s="10"/>
      <c r="O3" s="10"/>
      <c r="P3" s="10"/>
      <c r="Q3" s="4"/>
      <c r="T3" s="60"/>
      <c r="U3" s="54"/>
      <c r="V3" s="54"/>
      <c r="W3" s="61"/>
      <c r="Y3" s="60"/>
      <c r="Z3" s="54"/>
      <c r="AA3" s="54"/>
      <c r="AB3" s="61"/>
      <c r="AD3" s="3"/>
      <c r="AE3" s="10"/>
      <c r="AF3" s="10"/>
      <c r="AG3" s="10"/>
      <c r="AH3" s="10"/>
      <c r="AI3" s="10"/>
      <c r="AJ3" s="4"/>
      <c r="AM3" s="58"/>
      <c r="AN3" s="55"/>
      <c r="AO3" s="55"/>
      <c r="AP3" s="59"/>
      <c r="AR3" s="3"/>
      <c r="AS3" s="10"/>
      <c r="AT3" s="10"/>
      <c r="AU3" s="10"/>
      <c r="AV3" s="10"/>
      <c r="AW3" s="10"/>
      <c r="AX3" s="4"/>
      <c r="BA3" s="60"/>
      <c r="BB3" s="61"/>
      <c r="BD3" s="3"/>
      <c r="BE3" s="10"/>
      <c r="BF3" s="10"/>
      <c r="BG3" s="10"/>
      <c r="BH3" s="10"/>
      <c r="BI3" s="10"/>
      <c r="BJ3" s="4"/>
    </row>
    <row r="4" spans="2:62" ht="14.4" customHeight="1" thickBot="1" x14ac:dyDescent="0.35">
      <c r="B4" s="62">
        <f>CORREL(HR_analytics[[#All],[Atrrition_num]],HR_analytics[[#All],[Age]])</f>
        <v>-0.15920500686577846</v>
      </c>
      <c r="C4" s="6" t="s">
        <v>86</v>
      </c>
      <c r="E4" s="40" t="s">
        <v>75</v>
      </c>
      <c r="F4" s="40" t="s">
        <v>68</v>
      </c>
      <c r="G4" s="41"/>
      <c r="H4" s="42"/>
      <c r="K4" s="3"/>
      <c r="L4" s="10"/>
      <c r="M4" s="10"/>
      <c r="N4" s="10"/>
      <c r="O4" s="10"/>
      <c r="P4" s="10"/>
      <c r="Q4" s="4"/>
      <c r="T4" s="40" t="s">
        <v>75</v>
      </c>
      <c r="U4" s="40" t="s">
        <v>68</v>
      </c>
      <c r="V4" s="41"/>
      <c r="W4" s="42"/>
      <c r="Y4" s="40" t="s">
        <v>75</v>
      </c>
      <c r="Z4" s="40" t="s">
        <v>68</v>
      </c>
      <c r="AA4" s="41"/>
      <c r="AB4" s="42"/>
      <c r="AD4" s="3"/>
      <c r="AE4" s="10"/>
      <c r="AF4" s="10"/>
      <c r="AG4" s="10"/>
      <c r="AH4" s="10"/>
      <c r="AI4" s="10"/>
      <c r="AJ4" s="4"/>
      <c r="AM4" s="40" t="s">
        <v>75</v>
      </c>
      <c r="AN4" s="40" t="s">
        <v>68</v>
      </c>
      <c r="AO4" s="41"/>
      <c r="AP4" s="42"/>
      <c r="AR4" s="3"/>
      <c r="AS4" s="10"/>
      <c r="AT4" s="10"/>
      <c r="AU4" s="10"/>
      <c r="AV4" s="10"/>
      <c r="AW4" s="10"/>
      <c r="AX4" s="4"/>
      <c r="BA4" s="44" t="s">
        <v>65</v>
      </c>
      <c r="BB4" s="43" t="s">
        <v>70</v>
      </c>
      <c r="BD4" s="3"/>
      <c r="BE4" s="10"/>
      <c r="BF4" s="10"/>
      <c r="BG4" s="10"/>
      <c r="BH4" s="10"/>
      <c r="BI4" s="10"/>
      <c r="BJ4" s="4"/>
    </row>
    <row r="5" spans="2:62" ht="14.4" customHeight="1" thickBot="1" x14ac:dyDescent="0.35">
      <c r="B5" s="62">
        <f>CORREL(HR_analytics[Atrrition_num],HR_analytics[MonthlyIncome])</f>
        <v>-0.15983958238498774</v>
      </c>
      <c r="C5" s="6" t="s">
        <v>87</v>
      </c>
      <c r="E5" s="11" t="s">
        <v>65</v>
      </c>
      <c r="F5" s="41" t="s">
        <v>43</v>
      </c>
      <c r="G5" s="42" t="s">
        <v>35</v>
      </c>
      <c r="H5" s="43" t="s">
        <v>66</v>
      </c>
      <c r="K5" s="30"/>
      <c r="L5" s="13"/>
      <c r="M5" s="13"/>
      <c r="N5" s="13"/>
      <c r="O5" s="13"/>
      <c r="P5" s="13"/>
      <c r="Q5" s="14"/>
      <c r="T5" s="11" t="s">
        <v>65</v>
      </c>
      <c r="U5" s="41" t="s">
        <v>43</v>
      </c>
      <c r="V5" s="42" t="s">
        <v>35</v>
      </c>
      <c r="W5" s="43" t="s">
        <v>66</v>
      </c>
      <c r="Y5" s="11" t="s">
        <v>65</v>
      </c>
      <c r="Z5" s="41" t="s">
        <v>43</v>
      </c>
      <c r="AA5" s="42" t="s">
        <v>35</v>
      </c>
      <c r="AB5" s="43" t="s">
        <v>66</v>
      </c>
      <c r="AM5" s="11" t="s">
        <v>65</v>
      </c>
      <c r="AN5" s="41" t="s">
        <v>43</v>
      </c>
      <c r="AO5" s="42" t="s">
        <v>35</v>
      </c>
      <c r="AP5" s="43" t="s">
        <v>66</v>
      </c>
      <c r="AR5" s="30"/>
      <c r="AS5" s="13"/>
      <c r="AT5" s="13"/>
      <c r="AU5" s="13"/>
      <c r="AV5" s="13"/>
      <c r="AW5" s="13"/>
      <c r="AX5" s="14"/>
      <c r="BA5" s="15" t="s">
        <v>55</v>
      </c>
      <c r="BB5" s="51">
        <v>2.7933333333333334</v>
      </c>
      <c r="BD5" s="30"/>
      <c r="BE5" s="13"/>
      <c r="BF5" s="13"/>
      <c r="BG5" s="13"/>
      <c r="BH5" s="13"/>
      <c r="BI5" s="13"/>
      <c r="BJ5" s="14"/>
    </row>
    <row r="6" spans="2:62" ht="15" thickBot="1" x14ac:dyDescent="0.35">
      <c r="B6" s="63">
        <f>CORREL(dataset!C:C,dataset!AG:AG)</f>
        <v>-0.13439221398997619</v>
      </c>
      <c r="C6" s="64" t="s">
        <v>88</v>
      </c>
      <c r="E6" s="15">
        <v>1</v>
      </c>
      <c r="F6" s="46">
        <v>0.66265060240963858</v>
      </c>
      <c r="G6" s="47">
        <v>0.33734939759036142</v>
      </c>
      <c r="H6" s="48">
        <v>1</v>
      </c>
      <c r="K6" s="30"/>
      <c r="L6" s="13"/>
      <c r="M6" s="13"/>
      <c r="N6" s="13"/>
      <c r="O6" s="13"/>
      <c r="P6" s="13"/>
      <c r="Q6" s="14"/>
      <c r="T6" s="15" t="s">
        <v>52</v>
      </c>
      <c r="U6" s="46">
        <v>0.8990825688073395</v>
      </c>
      <c r="V6" s="47">
        <v>0.10091743119266056</v>
      </c>
      <c r="W6" s="48">
        <v>1</v>
      </c>
      <c r="Y6" s="15">
        <v>0</v>
      </c>
      <c r="Z6" s="46">
        <v>0.72222222222222221</v>
      </c>
      <c r="AA6" s="47">
        <v>0.27777777777777779</v>
      </c>
      <c r="AB6" s="48">
        <v>1</v>
      </c>
      <c r="AM6" s="15">
        <v>0</v>
      </c>
      <c r="AN6" s="46">
        <v>0.75594294770206028</v>
      </c>
      <c r="AO6" s="47">
        <v>0.24405705229793978</v>
      </c>
      <c r="AP6" s="48">
        <v>1</v>
      </c>
      <c r="AR6" s="30"/>
      <c r="AS6" s="13"/>
      <c r="AT6" s="13"/>
      <c r="AU6" s="13"/>
      <c r="AV6" s="13"/>
      <c r="AW6" s="13"/>
      <c r="AX6" s="14"/>
      <c r="BA6" s="15" t="s">
        <v>44</v>
      </c>
      <c r="BB6" s="52">
        <v>2.7906137184115525</v>
      </c>
      <c r="BD6" s="30"/>
      <c r="BE6" s="13"/>
      <c r="BF6" s="13"/>
      <c r="BG6" s="13"/>
      <c r="BH6" s="13"/>
      <c r="BI6" s="13"/>
      <c r="BJ6" s="14"/>
    </row>
    <row r="7" spans="2:62" ht="15" thickBot="1" x14ac:dyDescent="0.35">
      <c r="E7" s="15">
        <v>2</v>
      </c>
      <c r="F7" s="49">
        <v>0.81066666666666665</v>
      </c>
      <c r="G7" s="16">
        <v>0.18933333333333333</v>
      </c>
      <c r="H7" s="17">
        <v>1</v>
      </c>
      <c r="K7" s="30"/>
      <c r="L7" s="13"/>
      <c r="M7" s="13"/>
      <c r="N7" s="13"/>
      <c r="O7" s="13"/>
      <c r="P7" s="13"/>
      <c r="Q7" s="14"/>
      <c r="T7" s="15" t="s">
        <v>48</v>
      </c>
      <c r="U7" s="49">
        <v>0.87518573551263001</v>
      </c>
      <c r="V7" s="16">
        <v>0.12481426448736999</v>
      </c>
      <c r="W7" s="17">
        <v>1</v>
      </c>
      <c r="Y7" s="15">
        <v>1</v>
      </c>
      <c r="Z7" s="49">
        <v>0.87323943661971826</v>
      </c>
      <c r="AA7" s="16">
        <v>0.12676056338028169</v>
      </c>
      <c r="AB7" s="17">
        <v>1</v>
      </c>
      <c r="AM7" s="15">
        <v>1</v>
      </c>
      <c r="AN7" s="49">
        <v>0.90604026845637586</v>
      </c>
      <c r="AO7" s="16">
        <v>9.3959731543624164E-2</v>
      </c>
      <c r="AP7" s="17">
        <v>1</v>
      </c>
      <c r="AR7" s="30"/>
      <c r="AS7" s="13"/>
      <c r="AT7" s="13"/>
      <c r="AU7" s="13"/>
      <c r="AV7" s="13"/>
      <c r="AW7" s="13"/>
      <c r="AX7" s="14"/>
      <c r="BA7" s="15" t="s">
        <v>36</v>
      </c>
      <c r="BB7" s="52">
        <v>2.7027804410354745</v>
      </c>
      <c r="BD7" s="30"/>
      <c r="BE7" s="13"/>
      <c r="BF7" s="13"/>
      <c r="BG7" s="13"/>
      <c r="BH7" s="13"/>
      <c r="BI7" s="13"/>
      <c r="BJ7" s="14"/>
    </row>
    <row r="8" spans="2:62" ht="15" thickBot="1" x14ac:dyDescent="0.35">
      <c r="E8" s="15">
        <v>3</v>
      </c>
      <c r="F8" s="49">
        <v>0.85599078341013823</v>
      </c>
      <c r="G8" s="16">
        <v>0.14400921658986174</v>
      </c>
      <c r="H8" s="17">
        <v>1</v>
      </c>
      <c r="K8" s="30"/>
      <c r="L8" s="13"/>
      <c r="M8" s="13"/>
      <c r="N8" s="13"/>
      <c r="O8" s="13"/>
      <c r="P8" s="13"/>
      <c r="Q8" s="14"/>
      <c r="T8" s="15" t="s">
        <v>41</v>
      </c>
      <c r="U8" s="49">
        <v>0.74468085106382975</v>
      </c>
      <c r="V8" s="16">
        <v>0.25531914893617019</v>
      </c>
      <c r="W8" s="17">
        <v>1</v>
      </c>
      <c r="Y8" s="15">
        <v>2</v>
      </c>
      <c r="Z8" s="49">
        <v>0.82084095063985374</v>
      </c>
      <c r="AA8" s="16">
        <v>0.17915904936014626</v>
      </c>
      <c r="AB8" s="17">
        <v>1</v>
      </c>
      <c r="AM8" s="15">
        <v>2</v>
      </c>
      <c r="AN8" s="49">
        <v>0.92405063291139244</v>
      </c>
      <c r="AO8" s="16">
        <v>7.5949367088607597E-2</v>
      </c>
      <c r="AP8" s="17">
        <v>1</v>
      </c>
      <c r="AR8" s="30"/>
      <c r="AS8" s="13"/>
      <c r="AT8" s="13"/>
      <c r="AU8" s="13"/>
      <c r="AV8" s="13"/>
      <c r="AW8" s="13"/>
      <c r="AX8" s="14"/>
      <c r="BA8" s="45" t="s">
        <v>66</v>
      </c>
      <c r="BB8" s="53">
        <v>2.7285714285714286</v>
      </c>
      <c r="BD8" s="30"/>
      <c r="BE8" s="13"/>
      <c r="BF8" s="13"/>
      <c r="BG8" s="13"/>
      <c r="BH8" s="13"/>
      <c r="BI8" s="13"/>
      <c r="BJ8" s="14"/>
    </row>
    <row r="9" spans="2:62" ht="15" thickBot="1" x14ac:dyDescent="0.35">
      <c r="E9" s="15">
        <v>4</v>
      </c>
      <c r="F9" s="49">
        <v>0.90972222222222221</v>
      </c>
      <c r="G9" s="16">
        <v>9.0277777777777776E-2</v>
      </c>
      <c r="H9" s="17">
        <v>1</v>
      </c>
      <c r="K9" s="30"/>
      <c r="L9" s="13"/>
      <c r="M9" s="13"/>
      <c r="N9" s="13"/>
      <c r="O9" s="13"/>
      <c r="P9" s="13"/>
      <c r="Q9" s="14"/>
      <c r="T9" s="45" t="s">
        <v>66</v>
      </c>
      <c r="U9" s="50">
        <v>0.83877551020408159</v>
      </c>
      <c r="V9" s="19">
        <v>0.16122448979591836</v>
      </c>
      <c r="W9" s="20">
        <v>1</v>
      </c>
      <c r="Y9" s="15">
        <v>3</v>
      </c>
      <c r="Z9" s="49">
        <v>0.85947046843177188</v>
      </c>
      <c r="AA9" s="16">
        <v>0.14052953156822812</v>
      </c>
      <c r="AB9" s="17">
        <v>1</v>
      </c>
      <c r="AM9" s="15">
        <v>3</v>
      </c>
      <c r="AN9" s="49">
        <v>0.82352941176470584</v>
      </c>
      <c r="AO9" s="16">
        <v>0.17647058823529413</v>
      </c>
      <c r="AP9" s="17">
        <v>1</v>
      </c>
      <c r="AR9" s="30"/>
      <c r="AS9" s="13"/>
      <c r="AT9" s="13"/>
      <c r="AU9" s="13"/>
      <c r="AV9" s="13"/>
      <c r="AW9" s="13"/>
      <c r="AX9" s="14"/>
      <c r="BD9" s="30"/>
      <c r="BE9" s="13"/>
      <c r="BF9" s="13"/>
      <c r="BG9" s="13"/>
      <c r="BH9" s="13"/>
      <c r="BI9" s="13"/>
      <c r="BJ9" s="14"/>
    </row>
    <row r="10" spans="2:62" ht="15" thickBot="1" x14ac:dyDescent="0.35">
      <c r="E10" s="45" t="s">
        <v>66</v>
      </c>
      <c r="F10" s="50">
        <v>0.83877551020408159</v>
      </c>
      <c r="G10" s="19">
        <v>0.16122448979591836</v>
      </c>
      <c r="H10" s="20">
        <v>1</v>
      </c>
      <c r="K10" s="30"/>
      <c r="L10" s="13"/>
      <c r="M10" s="13"/>
      <c r="N10" s="13"/>
      <c r="O10" s="13"/>
      <c r="P10" s="13"/>
      <c r="Q10" s="14"/>
      <c r="Y10" s="15">
        <v>4</v>
      </c>
      <c r="Z10" s="49">
        <v>0.78861788617886175</v>
      </c>
      <c r="AA10" s="16">
        <v>0.21138211382113822</v>
      </c>
      <c r="AB10" s="17">
        <v>1</v>
      </c>
      <c r="AM10" s="45" t="s">
        <v>66</v>
      </c>
      <c r="AN10" s="50">
        <v>0.83877551020408159</v>
      </c>
      <c r="AO10" s="19">
        <v>0.16122448979591836</v>
      </c>
      <c r="AP10" s="20">
        <v>1</v>
      </c>
      <c r="AR10" s="30"/>
      <c r="AS10" s="13"/>
      <c r="AT10" s="13"/>
      <c r="AU10" s="13"/>
      <c r="AV10" s="13"/>
      <c r="AW10" s="13"/>
      <c r="AX10" s="14"/>
      <c r="BD10" s="30"/>
      <c r="BE10" s="13"/>
      <c r="BF10" s="13"/>
      <c r="BG10" s="13"/>
      <c r="BH10" s="13"/>
      <c r="BI10" s="13"/>
      <c r="BJ10" s="14"/>
    </row>
    <row r="11" spans="2:62" x14ac:dyDescent="0.3">
      <c r="K11" s="30"/>
      <c r="L11" s="13"/>
      <c r="M11" s="13"/>
      <c r="N11" s="13"/>
      <c r="O11" s="13"/>
      <c r="P11" s="13"/>
      <c r="Q11" s="14"/>
      <c r="Y11" s="15">
        <v>5</v>
      </c>
      <c r="Z11" s="49">
        <v>0.88235294117647056</v>
      </c>
      <c r="AA11" s="16">
        <v>0.11764705882352941</v>
      </c>
      <c r="AB11" s="17">
        <v>1</v>
      </c>
      <c r="AR11" s="30"/>
      <c r="AS11" s="13"/>
      <c r="AT11" s="13"/>
      <c r="AU11" s="13"/>
      <c r="AV11" s="13"/>
      <c r="AW11" s="13"/>
      <c r="AX11" s="14"/>
      <c r="BD11" s="30"/>
      <c r="BE11" s="13"/>
      <c r="BF11" s="13"/>
      <c r="BG11" s="13"/>
      <c r="BH11" s="13"/>
      <c r="BI11" s="13"/>
      <c r="BJ11" s="14"/>
    </row>
    <row r="12" spans="2:62" ht="15" thickBot="1" x14ac:dyDescent="0.35">
      <c r="K12" s="30"/>
      <c r="L12" s="13"/>
      <c r="M12" s="13"/>
      <c r="N12" s="13"/>
      <c r="O12" s="13"/>
      <c r="P12" s="13"/>
      <c r="Q12" s="14"/>
      <c r="Y12" s="15">
        <v>6</v>
      </c>
      <c r="Z12" s="49">
        <v>0.90769230769230769</v>
      </c>
      <c r="AA12" s="16">
        <v>9.2307692307692313E-2</v>
      </c>
      <c r="AB12" s="17">
        <v>1</v>
      </c>
      <c r="AR12" s="30"/>
      <c r="AS12" s="13"/>
      <c r="AT12" s="13"/>
      <c r="AU12" s="13"/>
      <c r="AV12" s="13"/>
      <c r="AW12" s="13"/>
      <c r="AX12" s="14"/>
      <c r="BD12" s="30"/>
      <c r="BE12" s="13"/>
      <c r="BF12" s="13"/>
      <c r="BG12" s="13"/>
      <c r="BH12" s="13"/>
      <c r="BI12" s="13"/>
      <c r="BJ12" s="14"/>
    </row>
    <row r="13" spans="2:62" ht="15" thickBot="1" x14ac:dyDescent="0.35">
      <c r="K13" s="30"/>
      <c r="L13" s="13"/>
      <c r="M13" s="13"/>
      <c r="N13" s="13"/>
      <c r="O13" s="13"/>
      <c r="P13" s="13"/>
      <c r="Q13" s="14"/>
      <c r="Y13" s="45" t="s">
        <v>66</v>
      </c>
      <c r="Z13" s="50">
        <v>0.83877551020408159</v>
      </c>
      <c r="AA13" s="19">
        <v>0.16122448979591836</v>
      </c>
      <c r="AB13" s="20">
        <v>1</v>
      </c>
      <c r="AR13" s="30"/>
      <c r="AS13" s="13"/>
      <c r="AT13" s="13"/>
      <c r="AU13" s="13"/>
      <c r="AV13" s="13"/>
      <c r="AW13" s="13"/>
      <c r="AX13" s="14"/>
      <c r="BD13" s="30"/>
      <c r="BE13" s="13"/>
      <c r="BF13" s="13"/>
      <c r="BG13" s="13"/>
      <c r="BH13" s="13"/>
      <c r="BI13" s="13"/>
      <c r="BJ13" s="14"/>
    </row>
    <row r="14" spans="2:62" x14ac:dyDescent="0.3">
      <c r="K14" s="30"/>
      <c r="L14" s="13"/>
      <c r="M14" s="13"/>
      <c r="N14" s="13"/>
      <c r="O14" s="13"/>
      <c r="P14" s="13"/>
      <c r="Q14" s="14"/>
      <c r="AR14" s="30"/>
      <c r="AS14" s="13"/>
      <c r="AT14" s="13"/>
      <c r="AU14" s="13"/>
      <c r="AV14" s="13"/>
      <c r="AW14" s="13"/>
      <c r="AX14" s="14"/>
      <c r="BD14" s="30"/>
      <c r="BE14" s="13"/>
      <c r="BF14" s="13"/>
      <c r="BG14" s="13"/>
      <c r="BH14" s="13"/>
      <c r="BI14" s="13"/>
      <c r="BJ14" s="14"/>
    </row>
    <row r="15" spans="2:62" x14ac:dyDescent="0.3">
      <c r="K15" s="30"/>
      <c r="L15" s="13"/>
      <c r="M15" s="13"/>
      <c r="N15" s="13"/>
      <c r="O15" s="13"/>
      <c r="P15" s="13"/>
      <c r="Q15" s="14"/>
      <c r="AR15" s="30"/>
      <c r="AS15" s="13"/>
      <c r="AT15" s="13"/>
      <c r="AU15" s="13"/>
      <c r="AV15" s="13"/>
      <c r="AW15" s="13"/>
      <c r="AX15" s="14"/>
      <c r="BD15" s="30"/>
      <c r="BE15" s="13"/>
      <c r="BF15" s="13"/>
      <c r="BG15" s="13"/>
      <c r="BH15" s="13"/>
      <c r="BI15" s="13"/>
      <c r="BJ15" s="14"/>
    </row>
    <row r="16" spans="2:62" x14ac:dyDescent="0.3">
      <c r="K16" s="30"/>
      <c r="L16" s="13"/>
      <c r="M16" s="13"/>
      <c r="N16" s="13"/>
      <c r="O16" s="13"/>
      <c r="P16" s="13"/>
      <c r="Q16" s="14"/>
      <c r="AR16" s="30"/>
      <c r="AS16" s="13"/>
      <c r="AT16" s="13"/>
      <c r="AU16" s="13"/>
      <c r="AV16" s="13"/>
      <c r="AW16" s="13"/>
      <c r="AX16" s="14"/>
      <c r="BD16" s="30"/>
      <c r="BE16" s="13"/>
      <c r="BF16" s="13"/>
      <c r="BG16" s="13"/>
      <c r="BH16" s="13"/>
      <c r="BI16" s="13"/>
      <c r="BJ16" s="14"/>
    </row>
    <row r="17" spans="11:62" x14ac:dyDescent="0.3">
      <c r="K17" s="30"/>
      <c r="L17" s="13"/>
      <c r="M17" s="13"/>
      <c r="N17" s="13"/>
      <c r="O17" s="13"/>
      <c r="P17" s="13"/>
      <c r="Q17" s="14"/>
      <c r="AR17" s="30"/>
      <c r="AS17" s="13"/>
      <c r="AT17" s="13"/>
      <c r="AU17" s="13"/>
      <c r="AV17" s="13"/>
      <c r="AW17" s="13"/>
      <c r="AX17" s="14"/>
      <c r="BD17" s="30"/>
      <c r="BE17" s="13"/>
      <c r="BF17" s="13"/>
      <c r="BG17" s="13"/>
      <c r="BH17" s="13"/>
      <c r="BI17" s="13"/>
      <c r="BJ17" s="14"/>
    </row>
    <row r="18" spans="11:62" ht="15" thickBot="1" x14ac:dyDescent="0.35">
      <c r="K18" s="30"/>
      <c r="L18" s="13"/>
      <c r="M18" s="13"/>
      <c r="N18" s="13"/>
      <c r="O18" s="13"/>
      <c r="P18" s="13"/>
      <c r="Q18" s="14"/>
      <c r="AR18" s="34"/>
      <c r="AS18" s="32"/>
      <c r="AT18" s="32"/>
      <c r="AU18" s="32"/>
      <c r="AV18" s="32"/>
      <c r="AW18" s="32"/>
      <c r="AX18" s="33"/>
      <c r="BD18" s="30"/>
      <c r="BE18" s="13"/>
      <c r="BF18" s="13"/>
      <c r="BG18" s="13"/>
      <c r="BH18" s="13"/>
      <c r="BI18" s="13"/>
      <c r="BJ18" s="14"/>
    </row>
    <row r="19" spans="11:62" ht="15" thickBot="1" x14ac:dyDescent="0.35">
      <c r="K19" s="34"/>
      <c r="L19" s="32"/>
      <c r="M19" s="32"/>
      <c r="N19" s="32"/>
      <c r="O19" s="32"/>
      <c r="P19" s="32"/>
      <c r="Q19" s="33"/>
      <c r="BD19" s="34"/>
      <c r="BE19" s="32"/>
      <c r="BF19" s="32"/>
      <c r="BG19" s="32"/>
      <c r="BH19" s="32"/>
      <c r="BI19" s="32"/>
      <c r="BJ19" s="33"/>
    </row>
  </sheetData>
  <mergeCells count="10">
    <mergeCell ref="E2:H3"/>
    <mergeCell ref="B2:C3"/>
    <mergeCell ref="BD2:BJ4"/>
    <mergeCell ref="BA2:BB3"/>
    <mergeCell ref="AR2:AX4"/>
    <mergeCell ref="AM2:AP3"/>
    <mergeCell ref="AD2:AJ4"/>
    <mergeCell ref="Y2:AB3"/>
    <mergeCell ref="T2:W3"/>
    <mergeCell ref="K2:Q4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Basic</vt:lpstr>
      <vt:lpstr>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SAKAL PATIL</dc:creator>
  <cp:lastModifiedBy>SAKAL PATIL</cp:lastModifiedBy>
  <dcterms:created xsi:type="dcterms:W3CDTF">2026-02-22T03:46:01Z</dcterms:created>
  <dcterms:modified xsi:type="dcterms:W3CDTF">2026-02-22T05:42:57Z</dcterms:modified>
</cp:coreProperties>
</file>